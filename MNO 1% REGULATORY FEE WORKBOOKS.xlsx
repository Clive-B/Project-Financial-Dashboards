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cagh-my.sharepoint.com/personal/james_quartey_nca_org_gh/Documents/Desktop/"/>
    </mc:Choice>
  </mc:AlternateContent>
  <xr:revisionPtr revIDLastSave="120" documentId="11_4D936800DC2BBCF19F6D49C1596DE6AC88AB4DC2" xr6:coauthVersionLast="47" xr6:coauthVersionMax="47" xr10:uidLastSave="{7E61A856-7461-486A-AC61-9BDE9426CFBA}"/>
  <bookViews>
    <workbookView xWindow="-110" yWindow="-110" windowWidth="19420" windowHeight="11500" activeTab="2" xr2:uid="{00000000-000D-0000-FFFF-FFFF00000000}"/>
  </bookViews>
  <sheets>
    <sheet name="MTN" sheetId="1" r:id="rId1"/>
    <sheet name="TELECEL" sheetId="2" r:id="rId2"/>
    <sheet name="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3" l="1"/>
  <c r="E62" i="3"/>
  <c r="G60" i="1"/>
  <c r="F60" i="1"/>
  <c r="E60" i="1"/>
  <c r="G55" i="3" l="1"/>
  <c r="F55" i="3"/>
  <c r="G44" i="3"/>
  <c r="F44" i="3"/>
  <c r="G33" i="3"/>
  <c r="F33" i="3"/>
  <c r="G22" i="3"/>
  <c r="F22" i="3"/>
  <c r="G12" i="3"/>
  <c r="F12" i="3"/>
  <c r="G54" i="2"/>
  <c r="F54" i="2"/>
  <c r="G43" i="2"/>
  <c r="F43" i="2"/>
  <c r="G32" i="2"/>
  <c r="F32" i="2"/>
  <c r="G21" i="2"/>
  <c r="F21" i="2"/>
  <c r="G11" i="2"/>
  <c r="F11" i="2"/>
  <c r="G53" i="1"/>
  <c r="F53" i="1"/>
  <c r="G42" i="1"/>
  <c r="F42" i="1"/>
  <c r="G31" i="1"/>
  <c r="F31" i="1"/>
  <c r="G20" i="1"/>
  <c r="F20" i="1"/>
  <c r="G10" i="1"/>
  <c r="F10" i="1"/>
  <c r="G62" i="3" l="1"/>
  <c r="E61" i="2"/>
  <c r="F61" i="2"/>
  <c r="G61" i="2" l="1"/>
</calcChain>
</file>

<file path=xl/sharedStrings.xml><?xml version="1.0" encoding="utf-8"?>
<sst xmlns="http://schemas.openxmlformats.org/spreadsheetml/2006/main" count="168" uniqueCount="17">
  <si>
    <t>MTN</t>
  </si>
  <si>
    <t>TELECEL</t>
  </si>
  <si>
    <t>AT</t>
  </si>
  <si>
    <t>PERIOD</t>
  </si>
  <si>
    <t>OPERATOR</t>
  </si>
  <si>
    <t>INVOICE ISSUED (GHS)</t>
  </si>
  <si>
    <t>PAYMENT RECEIVED (GHS)</t>
  </si>
  <si>
    <t>Q1</t>
  </si>
  <si>
    <t>Q2</t>
  </si>
  <si>
    <t>Q3</t>
  </si>
  <si>
    <t>Q4</t>
  </si>
  <si>
    <t>YEAR TOTAL</t>
  </si>
  <si>
    <t>SUMMARY OF 1% REGULATORY FEES INVOICED AND RECEIVED FROM 2021 TO 2025</t>
  </si>
  <si>
    <t>TOTAL INVOICED</t>
  </si>
  <si>
    <t>TOTAL RECEIVED</t>
  </si>
  <si>
    <t>OUTSTANDING RECEIVABLES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</si>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</sst>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/>
    <xf numFmtId="0" fontId="0" fillId="0" borderId="4" xfId="0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" fontId="0" fillId="0" borderId="10" xfId="0" applyNumberFormat="1" applyBorder="1"/>
    <xf numFmtId="0" fontId="0" fillId="0" borderId="11" xfId="0" applyBorder="1"/>
    <xf numFmtId="0" fontId="0" fillId="0" borderId="5" xfId="0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6" xfId="0" applyBorder="1" applyAlignment="1">
      <alignment horizontal="center" vertical="center"/>
    </xf>
    <xf numFmtId="43" fontId="2" fillId="0" borderId="14" xfId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3" fontId="1" fillId="0" borderId="1" xfId="0" applyNumberFormat="1" applyFont="1" applyBorder="1"/>
    <xf numFmtId="0" fontId="0" fillId="0" borderId="15" xfId="0" applyBorder="1"/>
    <xf numFmtId="0" fontId="0" fillId="0" borderId="2" xfId="0" applyBorder="1"/>
    <xf numFmtId="43" fontId="1" fillId="0" borderId="1" xfId="1" applyFont="1" applyBorder="1"/>
    <xf numFmtId="0" fontId="0" fillId="0" borderId="2" xfId="0" applyBorder="1" applyAlignment="1">
      <alignment horizontal="center"/>
    </xf>
    <xf numFmtId="43" fontId="2" fillId="0" borderId="16" xfId="1" applyFont="1" applyBorder="1"/>
    <xf numFmtId="0" fontId="0" fillId="0" borderId="9" xfId="0" applyBorder="1" applyAlignment="1">
      <alignment horizontal="center"/>
    </xf>
    <xf numFmtId="43" fontId="2" fillId="0" borderId="17" xfId="1" applyFont="1" applyBorder="1"/>
    <xf numFmtId="0" fontId="0" fillId="0" borderId="14" xfId="0" applyBorder="1" applyAlignment="1">
      <alignment horizontal="center"/>
    </xf>
    <xf numFmtId="0" fontId="0" fillId="0" borderId="18" xfId="0" applyBorder="1"/>
    <xf numFmtId="0" fontId="1" fillId="0" borderId="8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43" fontId="0" fillId="0" borderId="4" xfId="1" applyFont="1" applyFill="1" applyBorder="1"/>
    <xf numFmtId="43" fontId="0" fillId="0" borderId="16" xfId="1" applyFont="1" applyBorder="1"/>
    <xf numFmtId="43" fontId="0" fillId="0" borderId="17" xfId="1" applyFont="1" applyBorder="1"/>
    <xf numFmtId="43" fontId="0" fillId="0" borderId="2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0" fontId="3" fillId="0" borderId="9" xfId="0" applyFont="1" applyBorder="1"/>
    <xf numFmtId="0" fontId="3" fillId="0" borderId="2" xfId="0" applyFont="1" applyBorder="1"/>
    <xf numFmtId="43" fontId="0" fillId="0" borderId="9" xfId="1" applyFont="1" applyBorder="1"/>
    <xf numFmtId="43" fontId="0" fillId="0" borderId="14" xfId="1" applyFont="1" applyBorder="1"/>
    <xf numFmtId="0" fontId="0" fillId="0" borderId="14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60"/>
  <sheetViews>
    <sheetView workbookViewId="0">
      <selection activeCell="G65" sqref="G65"/>
    </sheetView>
  </sheetViews>
  <sheetFormatPr defaultRowHeight="14.5" x14ac:dyDescent="0.35"/>
  <cols>
    <col min="3" max="3" width="8.6328125" customWidth="1"/>
    <col min="4" max="4" width="19.1796875" customWidth="1"/>
    <col min="5" max="5" width="21.36328125" bestFit="1" customWidth="1"/>
    <col min="6" max="6" width="24.81640625" bestFit="1" customWidth="1"/>
    <col min="7" max="7" width="43.81640625" customWidth="1"/>
  </cols>
  <sheetData>
    <row r="3" spans="4:7" ht="15" thickBot="1" x14ac:dyDescent="0.4"/>
    <row r="4" spans="4:7" ht="19" thickBot="1" x14ac:dyDescent="0.5">
      <c r="D4" s="4">
        <v>2021</v>
      </c>
      <c r="E4" s="5"/>
      <c r="F4" s="5"/>
      <c r="G4" s="6"/>
    </row>
    <row r="5" spans="4:7" ht="19" thickBot="1" x14ac:dyDescent="0.5">
      <c r="D5" s="32" t="s">
        <v>3</v>
      </c>
      <c r="E5" s="47" t="s">
        <v>4</v>
      </c>
      <c r="F5" s="47" t="s">
        <v>5</v>
      </c>
      <c r="G5" s="32" t="s">
        <v>6</v>
      </c>
    </row>
    <row r="6" spans="4:7" ht="15" thickBot="1" x14ac:dyDescent="0.4">
      <c r="D6" s="1" t="s">
        <v>7</v>
      </c>
      <c r="E6" s="8" t="s">
        <v>0</v>
      </c>
      <c r="F6" s="44">
        <v>58170086</v>
      </c>
      <c r="G6" s="38">
        <v>13061511.98</v>
      </c>
    </row>
    <row r="7" spans="4:7" x14ac:dyDescent="0.35">
      <c r="D7" s="11" t="s">
        <v>8</v>
      </c>
      <c r="E7" s="12"/>
      <c r="F7" s="45"/>
      <c r="G7" s="39">
        <v>14169517.619999999</v>
      </c>
    </row>
    <row r="8" spans="4:7" x14ac:dyDescent="0.35">
      <c r="D8" s="14" t="s">
        <v>9</v>
      </c>
      <c r="E8" s="12"/>
      <c r="F8" s="45"/>
      <c r="G8" s="39">
        <v>14664614.99</v>
      </c>
    </row>
    <row r="9" spans="4:7" ht="15" thickBot="1" x14ac:dyDescent="0.4">
      <c r="D9" s="16" t="s">
        <v>10</v>
      </c>
      <c r="E9" s="17"/>
      <c r="F9" s="46"/>
      <c r="G9" s="40">
        <v>16274441.41</v>
      </c>
    </row>
    <row r="10" spans="4:7" ht="21.5" thickBot="1" x14ac:dyDescent="0.55000000000000004">
      <c r="D10" s="19" t="s">
        <v>11</v>
      </c>
      <c r="E10" s="20"/>
      <c r="F10" s="21">
        <f>SUM(F6:F9)</f>
        <v>58170086</v>
      </c>
      <c r="G10" s="21">
        <f>SUM(G6:G9)</f>
        <v>58170086</v>
      </c>
    </row>
    <row r="13" spans="4:7" ht="15" thickBot="1" x14ac:dyDescent="0.4"/>
    <row r="14" spans="4:7" ht="19" thickBot="1" x14ac:dyDescent="0.5">
      <c r="D14" s="4">
        <v>2022</v>
      </c>
      <c r="E14" s="5"/>
      <c r="F14" s="5"/>
      <c r="G14" s="6"/>
    </row>
    <row r="15" spans="4:7" ht="19" thickBot="1" x14ac:dyDescent="0.5">
      <c r="D15" s="32" t="s">
        <v>3</v>
      </c>
      <c r="E15" s="47" t="s">
        <v>4</v>
      </c>
      <c r="F15" s="47" t="s">
        <v>5</v>
      </c>
      <c r="G15" s="32" t="s">
        <v>6</v>
      </c>
    </row>
    <row r="16" spans="4:7" x14ac:dyDescent="0.35">
      <c r="D16" s="22" t="s">
        <v>7</v>
      </c>
      <c r="E16" s="8" t="s">
        <v>0</v>
      </c>
      <c r="F16" s="44">
        <v>79169470.989999995</v>
      </c>
      <c r="G16" s="41">
        <v>18220931.940000001</v>
      </c>
    </row>
    <row r="17" spans="4:7" x14ac:dyDescent="0.35">
      <c r="D17" s="14" t="s">
        <v>8</v>
      </c>
      <c r="E17" s="12"/>
      <c r="F17" s="45"/>
      <c r="G17" s="39">
        <v>17828525.48</v>
      </c>
    </row>
    <row r="18" spans="4:7" x14ac:dyDescent="0.35">
      <c r="D18" s="14" t="s">
        <v>9</v>
      </c>
      <c r="E18" s="12"/>
      <c r="F18" s="45"/>
      <c r="G18" s="39">
        <v>21038145.09</v>
      </c>
    </row>
    <row r="19" spans="4:7" ht="15" thickBot="1" x14ac:dyDescent="0.4">
      <c r="D19" s="16" t="s">
        <v>10</v>
      </c>
      <c r="E19" s="17"/>
      <c r="F19" s="46"/>
      <c r="G19" s="40">
        <v>22081868.48</v>
      </c>
    </row>
    <row r="20" spans="4:7" ht="21.5" thickBot="1" x14ac:dyDescent="0.55000000000000004">
      <c r="D20" s="19" t="s">
        <v>11</v>
      </c>
      <c r="E20" s="20"/>
      <c r="F20" s="21">
        <f>SUM(F16:F19)</f>
        <v>79169470.989999995</v>
      </c>
      <c r="G20" s="21">
        <f>SUM(G16:G19)</f>
        <v>79169470.99000001</v>
      </c>
    </row>
    <row r="24" spans="4:7" ht="15" thickBot="1" x14ac:dyDescent="0.4"/>
    <row r="25" spans="4:7" ht="19" thickBot="1" x14ac:dyDescent="0.5">
      <c r="D25" s="4">
        <v>2023</v>
      </c>
      <c r="E25" s="5"/>
      <c r="F25" s="5"/>
      <c r="G25" s="6"/>
    </row>
    <row r="26" spans="4:7" ht="19" thickBot="1" x14ac:dyDescent="0.5">
      <c r="D26" s="32" t="s">
        <v>3</v>
      </c>
      <c r="E26" s="47" t="s">
        <v>4</v>
      </c>
      <c r="F26" s="47" t="s">
        <v>5</v>
      </c>
      <c r="G26" s="48" t="s">
        <v>6</v>
      </c>
    </row>
    <row r="27" spans="4:7" x14ac:dyDescent="0.35">
      <c r="D27" s="22" t="s">
        <v>7</v>
      </c>
      <c r="E27" s="8" t="s">
        <v>0</v>
      </c>
      <c r="F27" s="44">
        <v>104234913.33</v>
      </c>
      <c r="G27" s="39">
        <v>22594141.129999999</v>
      </c>
    </row>
    <row r="28" spans="4:7" x14ac:dyDescent="0.35">
      <c r="D28" s="14" t="s">
        <v>8</v>
      </c>
      <c r="E28" s="12"/>
      <c r="F28" s="45"/>
      <c r="G28" s="39">
        <v>25811410.579999998</v>
      </c>
    </row>
    <row r="29" spans="4:7" x14ac:dyDescent="0.35">
      <c r="D29" s="14" t="s">
        <v>9</v>
      </c>
      <c r="E29" s="12"/>
      <c r="F29" s="45"/>
      <c r="G29" s="39">
        <v>28148796.670000002</v>
      </c>
    </row>
    <row r="30" spans="4:7" ht="15" thickBot="1" x14ac:dyDescent="0.4">
      <c r="D30" s="16" t="s">
        <v>10</v>
      </c>
      <c r="E30" s="17"/>
      <c r="F30" s="46"/>
      <c r="G30" s="40">
        <v>27680564.949999999</v>
      </c>
    </row>
    <row r="31" spans="4:7" ht="21.5" thickBot="1" x14ac:dyDescent="0.55000000000000004">
      <c r="D31" s="19" t="s">
        <v>11</v>
      </c>
      <c r="E31" s="20"/>
      <c r="F31" s="24">
        <f>SUM(F27:F30)</f>
        <v>104234913.33</v>
      </c>
      <c r="G31" s="24">
        <f>SUM(G27:G30)</f>
        <v>104234913.33</v>
      </c>
    </row>
    <row r="35" spans="4:7" ht="15" thickBot="1" x14ac:dyDescent="0.4"/>
    <row r="36" spans="4:7" ht="19" thickBot="1" x14ac:dyDescent="0.5">
      <c r="D36" s="4">
        <v>2024</v>
      </c>
      <c r="E36" s="5"/>
      <c r="F36" s="5"/>
      <c r="G36" s="6"/>
    </row>
    <row r="37" spans="4:7" ht="19" thickBot="1" x14ac:dyDescent="0.5">
      <c r="D37" s="32" t="s">
        <v>3</v>
      </c>
      <c r="E37" s="47" t="s">
        <v>4</v>
      </c>
      <c r="F37" s="47" t="s">
        <v>5</v>
      </c>
      <c r="G37" s="32" t="s">
        <v>6</v>
      </c>
    </row>
    <row r="38" spans="4:7" x14ac:dyDescent="0.35">
      <c r="D38" s="22" t="s">
        <v>7</v>
      </c>
      <c r="E38" s="8" t="s">
        <v>0</v>
      </c>
      <c r="F38" s="44">
        <v>131649797.25</v>
      </c>
      <c r="G38" s="38">
        <v>28828054.079999998</v>
      </c>
    </row>
    <row r="39" spans="4:7" x14ac:dyDescent="0.35">
      <c r="D39" s="14" t="s">
        <v>8</v>
      </c>
      <c r="E39" s="12"/>
      <c r="F39" s="45"/>
      <c r="G39" s="39">
        <v>31156678.859999999</v>
      </c>
    </row>
    <row r="40" spans="4:7" x14ac:dyDescent="0.35">
      <c r="D40" s="14" t="s">
        <v>9</v>
      </c>
      <c r="E40" s="12"/>
      <c r="F40" s="45"/>
      <c r="G40" s="39">
        <v>34233220.93</v>
      </c>
    </row>
    <row r="41" spans="4:7" ht="15" thickBot="1" x14ac:dyDescent="0.4">
      <c r="D41" s="16" t="s">
        <v>10</v>
      </c>
      <c r="E41" s="17"/>
      <c r="F41" s="46"/>
      <c r="G41" s="40">
        <v>37431843.380000003</v>
      </c>
    </row>
    <row r="42" spans="4:7" ht="21.5" thickBot="1" x14ac:dyDescent="0.55000000000000004">
      <c r="D42" s="19" t="s">
        <v>11</v>
      </c>
      <c r="E42" s="20"/>
      <c r="F42" s="24">
        <f>SUM(F38:F41)</f>
        <v>131649797.25</v>
      </c>
      <c r="G42" s="24">
        <f>SUM(G38:G41)</f>
        <v>131649797.25</v>
      </c>
    </row>
    <row r="46" spans="4:7" ht="15" thickBot="1" x14ac:dyDescent="0.4"/>
    <row r="47" spans="4:7" ht="19" thickBot="1" x14ac:dyDescent="0.5">
      <c r="D47" s="4">
        <v>2025</v>
      </c>
      <c r="E47" s="5"/>
      <c r="F47" s="5"/>
      <c r="G47" s="6"/>
    </row>
    <row r="48" spans="4:7" ht="15" thickBot="1" x14ac:dyDescent="0.4">
      <c r="D48" s="1" t="s">
        <v>3</v>
      </c>
      <c r="E48" s="7" t="s">
        <v>4</v>
      </c>
      <c r="F48" s="7" t="s">
        <v>5</v>
      </c>
      <c r="G48" s="1" t="s">
        <v>6</v>
      </c>
    </row>
    <row r="49" spans="4:7" x14ac:dyDescent="0.35">
      <c r="D49" s="22" t="s">
        <v>7</v>
      </c>
      <c r="E49" s="8" t="s">
        <v>0</v>
      </c>
      <c r="F49" s="44">
        <v>185621820</v>
      </c>
      <c r="G49" s="42">
        <v>39649917.520000003</v>
      </c>
    </row>
    <row r="50" spans="4:7" x14ac:dyDescent="0.35">
      <c r="D50" s="14" t="s">
        <v>8</v>
      </c>
      <c r="E50" s="12"/>
      <c r="F50" s="45"/>
      <c r="G50" s="43">
        <v>43774217.299999997</v>
      </c>
    </row>
    <row r="51" spans="4:7" x14ac:dyDescent="0.35">
      <c r="D51" s="14" t="s">
        <v>9</v>
      </c>
      <c r="E51" s="12"/>
      <c r="F51" s="45"/>
      <c r="G51" s="43">
        <v>45891380.049999997</v>
      </c>
    </row>
    <row r="52" spans="4:7" ht="15" thickBot="1" x14ac:dyDescent="0.4">
      <c r="D52" s="16" t="s">
        <v>10</v>
      </c>
      <c r="E52" s="17"/>
      <c r="F52" s="46"/>
      <c r="G52" s="30"/>
    </row>
    <row r="53" spans="4:7" ht="21.5" thickBot="1" x14ac:dyDescent="0.55000000000000004">
      <c r="D53" s="19" t="s">
        <v>11</v>
      </c>
      <c r="E53" s="20"/>
      <c r="F53" s="24">
        <f>SUM(F49:F52)</f>
        <v>185621820</v>
      </c>
      <c r="G53" s="24">
        <f>SUM(G49:G52)</f>
        <v>129315514.86999999</v>
      </c>
    </row>
    <row r="57" spans="4:7" ht="15" thickBot="1" x14ac:dyDescent="0.4"/>
    <row r="58" spans="4:7" ht="21.5" thickBot="1" x14ac:dyDescent="0.55000000000000004">
      <c r="D58" s="19" t="s">
        <v>12</v>
      </c>
      <c r="E58" s="20"/>
      <c r="F58" s="20"/>
      <c r="G58" s="31"/>
    </row>
    <row r="59" spans="4:7" ht="19" thickBot="1" x14ac:dyDescent="0.5">
      <c r="D59" s="32" t="s">
        <v>4</v>
      </c>
      <c r="E59" s="32" t="s">
        <v>13</v>
      </c>
      <c r="F59" s="33" t="s">
        <v>14</v>
      </c>
      <c r="G59" s="32" t="s">
        <v>15</v>
      </c>
    </row>
    <row r="60" spans="4:7" ht="21.5" thickBot="1" x14ac:dyDescent="0.55000000000000004">
      <c r="D60" s="34" t="s">
        <v>16</v>
      </c>
      <c r="E60" s="21">
        <f>SUM(F53+F42+F31+F20+F10)</f>
        <v>558846087.56999993</v>
      </c>
      <c r="F60" s="21">
        <f>SUM(G53+G42+G31+G20+G10)</f>
        <v>502539782.44</v>
      </c>
      <c r="G60" s="21">
        <f>E60-F60</f>
        <v>56306305.129999936</v>
      </c>
    </row>
  </sheetData>
  <mergeCells count="21">
    <mergeCell ref="D47:G47"/>
    <mergeCell ref="E49:E52"/>
    <mergeCell ref="F49:F52"/>
    <mergeCell ref="D53:E53"/>
    <mergeCell ref="D58:G58"/>
    <mergeCell ref="D31:E31"/>
    <mergeCell ref="D36:G36"/>
    <mergeCell ref="E38:E41"/>
    <mergeCell ref="F38:F41"/>
    <mergeCell ref="D42:E42"/>
    <mergeCell ref="E16:E19"/>
    <mergeCell ref="F16:F19"/>
    <mergeCell ref="D20:E20"/>
    <mergeCell ref="D25:G25"/>
    <mergeCell ref="E27:E30"/>
    <mergeCell ref="F27:F30"/>
    <mergeCell ref="D4:G4"/>
    <mergeCell ref="E6:E9"/>
    <mergeCell ref="F6:F9"/>
    <mergeCell ref="D10:E10"/>
    <mergeCell ref="D14:G1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G61"/>
  <sheetViews>
    <sheetView workbookViewId="0">
      <selection activeCell="J57" sqref="J57"/>
    </sheetView>
  </sheetViews>
  <sheetFormatPr defaultRowHeight="14.5" x14ac:dyDescent="0.35"/>
  <cols>
    <col min="4" max="4" width="18.6328125" bestFit="1" customWidth="1"/>
    <col min="5" max="5" width="21.1796875" customWidth="1"/>
    <col min="6" max="6" width="21" customWidth="1"/>
    <col min="7" max="7" width="31.90625" bestFit="1" customWidth="1"/>
  </cols>
  <sheetData>
    <row r="4" spans="4:7" ht="15" thickBot="1" x14ac:dyDescent="0.4"/>
    <row r="5" spans="4:7" ht="19" thickBot="1" x14ac:dyDescent="0.5">
      <c r="D5" s="4">
        <v>2021</v>
      </c>
      <c r="E5" s="5"/>
      <c r="F5" s="5"/>
      <c r="G5" s="6"/>
    </row>
    <row r="6" spans="4:7" ht="19" thickBot="1" x14ac:dyDescent="0.5">
      <c r="D6" s="32" t="s">
        <v>3</v>
      </c>
      <c r="E6" s="47" t="s">
        <v>4</v>
      </c>
      <c r="F6" s="47" t="s">
        <v>5</v>
      </c>
      <c r="G6" s="32" t="s">
        <v>6</v>
      </c>
    </row>
    <row r="7" spans="4:7" ht="15" thickBot="1" x14ac:dyDescent="0.4">
      <c r="D7" s="1" t="s">
        <v>7</v>
      </c>
      <c r="E7" s="8" t="s">
        <v>1</v>
      </c>
      <c r="F7" s="44">
        <v>12869210</v>
      </c>
      <c r="G7" s="38">
        <v>2328123.39</v>
      </c>
    </row>
    <row r="8" spans="4:7" x14ac:dyDescent="0.35">
      <c r="D8" s="11" t="s">
        <v>8</v>
      </c>
      <c r="E8" s="12"/>
      <c r="F8" s="45"/>
      <c r="G8" s="39"/>
    </row>
    <row r="9" spans="4:7" x14ac:dyDescent="0.35">
      <c r="D9" s="14" t="s">
        <v>9</v>
      </c>
      <c r="E9" s="12"/>
      <c r="F9" s="45"/>
      <c r="G9" s="39">
        <v>2590178.65</v>
      </c>
    </row>
    <row r="10" spans="4:7" ht="15" thickBot="1" x14ac:dyDescent="0.4">
      <c r="D10" s="16" t="s">
        <v>10</v>
      </c>
      <c r="E10" s="17"/>
      <c r="F10" s="46"/>
      <c r="G10" s="40"/>
    </row>
    <row r="11" spans="4:7" ht="21.5" thickBot="1" x14ac:dyDescent="0.55000000000000004">
      <c r="D11" s="19" t="s">
        <v>11</v>
      </c>
      <c r="E11" s="20"/>
      <c r="F11" s="21">
        <f>SUM(F7:F10)</f>
        <v>12869210</v>
      </c>
      <c r="G11" s="21">
        <f>SUM(G7:G10)</f>
        <v>4918302.04</v>
      </c>
    </row>
    <row r="14" spans="4:7" ht="15" thickBot="1" x14ac:dyDescent="0.4"/>
    <row r="15" spans="4:7" ht="19" thickBot="1" x14ac:dyDescent="0.5">
      <c r="D15" s="4">
        <v>2022</v>
      </c>
      <c r="E15" s="5"/>
      <c r="F15" s="5"/>
      <c r="G15" s="6"/>
    </row>
    <row r="16" spans="4:7" ht="19" thickBot="1" x14ac:dyDescent="0.5">
      <c r="D16" s="32" t="s">
        <v>3</v>
      </c>
      <c r="E16" s="47" t="s">
        <v>1</v>
      </c>
      <c r="F16" s="47" t="s">
        <v>5</v>
      </c>
      <c r="G16" s="32" t="s">
        <v>6</v>
      </c>
    </row>
    <row r="17" spans="4:7" x14ac:dyDescent="0.35">
      <c r="D17" s="22" t="s">
        <v>7</v>
      </c>
      <c r="E17" s="8" t="s">
        <v>1</v>
      </c>
      <c r="F17" s="44">
        <v>13962470</v>
      </c>
      <c r="G17" s="38">
        <v>2720979.07</v>
      </c>
    </row>
    <row r="18" spans="4:7" x14ac:dyDescent="0.35">
      <c r="D18" s="14" t="s">
        <v>8</v>
      </c>
      <c r="E18" s="12"/>
      <c r="F18" s="45"/>
      <c r="G18" s="39">
        <v>2799801.34</v>
      </c>
    </row>
    <row r="19" spans="4:7" x14ac:dyDescent="0.35">
      <c r="D19" s="14" t="s">
        <v>9</v>
      </c>
      <c r="E19" s="12"/>
      <c r="F19" s="45"/>
      <c r="G19" s="39">
        <v>2876555.84</v>
      </c>
    </row>
    <row r="20" spans="4:7" ht="15" thickBot="1" x14ac:dyDescent="0.4">
      <c r="D20" s="16" t="s">
        <v>10</v>
      </c>
      <c r="E20" s="17"/>
      <c r="F20" s="46"/>
      <c r="G20" s="40"/>
    </row>
    <row r="21" spans="4:7" ht="21.5" thickBot="1" x14ac:dyDescent="0.55000000000000004">
      <c r="D21" s="19" t="s">
        <v>11</v>
      </c>
      <c r="E21" s="20"/>
      <c r="F21" s="21">
        <f>SUM(F17:F20)</f>
        <v>13962470</v>
      </c>
      <c r="G21" s="21">
        <f>SUM(G17:G20)</f>
        <v>8397336.25</v>
      </c>
    </row>
    <row r="25" spans="4:7" ht="15" thickBot="1" x14ac:dyDescent="0.4"/>
    <row r="26" spans="4:7" ht="19" thickBot="1" x14ac:dyDescent="0.5">
      <c r="D26" s="4">
        <v>2023</v>
      </c>
      <c r="E26" s="5"/>
      <c r="F26" s="5"/>
      <c r="G26" s="6"/>
    </row>
    <row r="27" spans="4:7" ht="19" thickBot="1" x14ac:dyDescent="0.5">
      <c r="D27" s="32" t="s">
        <v>3</v>
      </c>
      <c r="E27" s="47" t="s">
        <v>4</v>
      </c>
      <c r="F27" s="47" t="s">
        <v>5</v>
      </c>
      <c r="G27" s="48" t="s">
        <v>6</v>
      </c>
    </row>
    <row r="28" spans="4:7" x14ac:dyDescent="0.35">
      <c r="D28" s="22" t="s">
        <v>7</v>
      </c>
      <c r="E28" s="8" t="s">
        <v>1</v>
      </c>
      <c r="F28" s="44">
        <v>15837770</v>
      </c>
      <c r="G28" s="38">
        <v>664321.25</v>
      </c>
    </row>
    <row r="29" spans="4:7" x14ac:dyDescent="0.35">
      <c r="D29" s="14" t="s">
        <v>8</v>
      </c>
      <c r="E29" s="12"/>
      <c r="F29" s="45"/>
      <c r="G29" s="49">
        <v>4678500</v>
      </c>
    </row>
    <row r="30" spans="4:7" x14ac:dyDescent="0.35">
      <c r="D30" s="14" t="s">
        <v>9</v>
      </c>
      <c r="E30" s="12"/>
      <c r="F30" s="45"/>
      <c r="G30" s="39">
        <v>4635000</v>
      </c>
    </row>
    <row r="31" spans="4:7" ht="15" thickBot="1" x14ac:dyDescent="0.4">
      <c r="D31" s="16" t="s">
        <v>10</v>
      </c>
      <c r="E31" s="17"/>
      <c r="F31" s="46"/>
      <c r="G31" s="50">
        <v>5120325</v>
      </c>
    </row>
    <row r="32" spans="4:7" ht="21.5" thickBot="1" x14ac:dyDescent="0.55000000000000004">
      <c r="D32" s="19" t="s">
        <v>11</v>
      </c>
      <c r="E32" s="20"/>
      <c r="F32" s="24">
        <f>SUM(F28:F31)</f>
        <v>15837770</v>
      </c>
      <c r="G32" s="24">
        <f>SUM(G28:G31)</f>
        <v>15098146.25</v>
      </c>
    </row>
    <row r="36" spans="4:7" ht="15" thickBot="1" x14ac:dyDescent="0.4"/>
    <row r="37" spans="4:7" ht="19" thickBot="1" x14ac:dyDescent="0.5">
      <c r="D37" s="4">
        <v>2024</v>
      </c>
      <c r="E37" s="5"/>
      <c r="F37" s="5"/>
      <c r="G37" s="6"/>
    </row>
    <row r="38" spans="4:7" ht="19" thickBot="1" x14ac:dyDescent="0.5">
      <c r="D38" s="32" t="s">
        <v>3</v>
      </c>
      <c r="E38" s="47" t="s">
        <v>4</v>
      </c>
      <c r="F38" s="47" t="s">
        <v>5</v>
      </c>
      <c r="G38" s="32" t="s">
        <v>6</v>
      </c>
    </row>
    <row r="39" spans="4:7" x14ac:dyDescent="0.35">
      <c r="D39" s="22" t="s">
        <v>7</v>
      </c>
      <c r="E39" s="8" t="s">
        <v>1</v>
      </c>
      <c r="F39" s="44">
        <v>18268410</v>
      </c>
      <c r="G39" s="38">
        <v>5000000</v>
      </c>
    </row>
    <row r="40" spans="4:7" x14ac:dyDescent="0.35">
      <c r="D40" s="14" t="s">
        <v>8</v>
      </c>
      <c r="E40" s="12"/>
      <c r="F40" s="45"/>
      <c r="G40" s="39">
        <v>5000000</v>
      </c>
    </row>
    <row r="41" spans="4:7" x14ac:dyDescent="0.35">
      <c r="D41" s="14" t="s">
        <v>9</v>
      </c>
      <c r="E41" s="12"/>
      <c r="F41" s="45"/>
      <c r="G41" s="39">
        <v>7326345</v>
      </c>
    </row>
    <row r="42" spans="4:7" ht="15" thickBot="1" x14ac:dyDescent="0.4">
      <c r="D42" s="16" t="s">
        <v>10</v>
      </c>
      <c r="E42" s="17"/>
      <c r="F42" s="46"/>
      <c r="G42" s="51"/>
    </row>
    <row r="43" spans="4:7" ht="21.5" thickBot="1" x14ac:dyDescent="0.55000000000000004">
      <c r="D43" s="19" t="s">
        <v>11</v>
      </c>
      <c r="E43" s="20"/>
      <c r="F43" s="24">
        <f>SUM(F39:F42)</f>
        <v>18268410</v>
      </c>
      <c r="G43" s="24">
        <f>SUM(G39:G42)</f>
        <v>17326345</v>
      </c>
    </row>
    <row r="47" spans="4:7" ht="15" thickBot="1" x14ac:dyDescent="0.4"/>
    <row r="48" spans="4:7" ht="19" thickBot="1" x14ac:dyDescent="0.5">
      <c r="D48" s="4">
        <v>2025</v>
      </c>
      <c r="E48" s="5"/>
      <c r="F48" s="5"/>
      <c r="G48" s="6"/>
    </row>
    <row r="49" spans="4:7" ht="19" thickBot="1" x14ac:dyDescent="0.5">
      <c r="D49" s="32" t="s">
        <v>3</v>
      </c>
      <c r="E49" s="47" t="s">
        <v>4</v>
      </c>
      <c r="F49" s="47" t="s">
        <v>5</v>
      </c>
      <c r="G49" s="32" t="s">
        <v>6</v>
      </c>
    </row>
    <row r="50" spans="4:7" x14ac:dyDescent="0.35">
      <c r="D50" s="22" t="s">
        <v>7</v>
      </c>
      <c r="E50" s="8" t="s">
        <v>1</v>
      </c>
      <c r="F50" s="25"/>
      <c r="G50" s="26"/>
    </row>
    <row r="51" spans="4:7" x14ac:dyDescent="0.35">
      <c r="D51" s="14" t="s">
        <v>8</v>
      </c>
      <c r="E51" s="12"/>
      <c r="F51" s="27"/>
      <c r="G51" s="28"/>
    </row>
    <row r="52" spans="4:7" x14ac:dyDescent="0.35">
      <c r="D52" s="14" t="s">
        <v>9</v>
      </c>
      <c r="E52" s="12"/>
      <c r="F52" s="27"/>
      <c r="G52" s="28"/>
    </row>
    <row r="53" spans="4:7" ht="15" thickBot="1" x14ac:dyDescent="0.4">
      <c r="D53" s="16" t="s">
        <v>10</v>
      </c>
      <c r="E53" s="17"/>
      <c r="F53" s="29"/>
      <c r="G53" s="30"/>
    </row>
    <row r="54" spans="4:7" ht="21.5" thickBot="1" x14ac:dyDescent="0.55000000000000004">
      <c r="D54" s="19" t="s">
        <v>11</v>
      </c>
      <c r="E54" s="20"/>
      <c r="F54" s="24">
        <f>SUM(F50:F53)</f>
        <v>0</v>
      </c>
      <c r="G54" s="24">
        <f>SUM(G50:G53)</f>
        <v>0</v>
      </c>
    </row>
    <row r="58" spans="4:7" ht="15" thickBot="1" x14ac:dyDescent="0.4"/>
    <row r="59" spans="4:7" ht="21.5" thickBot="1" x14ac:dyDescent="0.55000000000000004">
      <c r="D59" s="35" t="s">
        <v>12</v>
      </c>
      <c r="E59" s="36"/>
      <c r="F59" s="36"/>
      <c r="G59" s="37"/>
    </row>
    <row r="60" spans="4:7" ht="19" thickBot="1" x14ac:dyDescent="0.5">
      <c r="D60" s="32" t="s">
        <v>4</v>
      </c>
      <c r="E60" s="32" t="s">
        <v>13</v>
      </c>
      <c r="F60" s="33" t="s">
        <v>14</v>
      </c>
      <c r="G60" s="32" t="s">
        <v>15</v>
      </c>
    </row>
    <row r="61" spans="4:7" ht="21.5" thickBot="1" x14ac:dyDescent="0.55000000000000004">
      <c r="D61" s="34" t="s">
        <v>16</v>
      </c>
      <c r="E61" s="21">
        <f>F54+F43+F32+F21+F11</f>
        <v>60937860</v>
      </c>
      <c r="F61" s="21">
        <f>G54+G43+G32+G21+G11</f>
        <v>45740129.539999999</v>
      </c>
      <c r="G61" s="21">
        <f>E61-F61</f>
        <v>15197730.460000001</v>
      </c>
    </row>
  </sheetData>
  <mergeCells count="21">
    <mergeCell ref="D48:G48"/>
    <mergeCell ref="E50:E53"/>
    <mergeCell ref="F50:F53"/>
    <mergeCell ref="D54:E54"/>
    <mergeCell ref="D59:G59"/>
    <mergeCell ref="D32:E32"/>
    <mergeCell ref="D37:G37"/>
    <mergeCell ref="E39:E42"/>
    <mergeCell ref="F39:F42"/>
    <mergeCell ref="D43:E43"/>
    <mergeCell ref="E17:E20"/>
    <mergeCell ref="F17:F20"/>
    <mergeCell ref="D21:E21"/>
    <mergeCell ref="D26:G26"/>
    <mergeCell ref="E28:E31"/>
    <mergeCell ref="F28:F31"/>
    <mergeCell ref="D5:G5"/>
    <mergeCell ref="E7:E10"/>
    <mergeCell ref="F7:F10"/>
    <mergeCell ref="D11:E11"/>
    <mergeCell ref="D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5:G62"/>
  <sheetViews>
    <sheetView tabSelected="1" topLeftCell="A55" workbookViewId="0">
      <selection activeCell="F69" sqref="F69"/>
    </sheetView>
  </sheetViews>
  <sheetFormatPr defaultRowHeight="14.5" x14ac:dyDescent="0.35"/>
  <cols>
    <col min="4" max="4" width="18.6328125" bestFit="1" customWidth="1"/>
    <col min="5" max="5" width="22.54296875" customWidth="1"/>
    <col min="6" max="6" width="23.54296875" bestFit="1" customWidth="1"/>
    <col min="7" max="7" width="31.90625" bestFit="1" customWidth="1"/>
  </cols>
  <sheetData>
    <row r="5" spans="4:7" ht="15" thickBot="1" x14ac:dyDescent="0.4"/>
    <row r="6" spans="4:7" ht="19" thickBot="1" x14ac:dyDescent="0.5">
      <c r="D6" s="4">
        <v>2021</v>
      </c>
      <c r="E6" s="5"/>
      <c r="F6" s="5"/>
      <c r="G6" s="6"/>
    </row>
    <row r="7" spans="4:7" ht="15" thickBot="1" x14ac:dyDescent="0.4">
      <c r="D7" s="1" t="s">
        <v>3</v>
      </c>
      <c r="E7" s="7" t="s">
        <v>4</v>
      </c>
      <c r="F7" s="7" t="s">
        <v>5</v>
      </c>
      <c r="G7" s="1" t="s">
        <v>6</v>
      </c>
    </row>
    <row r="8" spans="4:7" ht="15" thickBot="1" x14ac:dyDescent="0.4">
      <c r="D8" s="1" t="s">
        <v>7</v>
      </c>
      <c r="E8" s="8" t="s">
        <v>2</v>
      </c>
      <c r="F8" s="9">
        <v>15206000</v>
      </c>
      <c r="G8" s="38">
        <v>1512276.04</v>
      </c>
    </row>
    <row r="9" spans="4:7" x14ac:dyDescent="0.35">
      <c r="D9" s="11" t="s">
        <v>8</v>
      </c>
      <c r="E9" s="12"/>
      <c r="F9" s="13"/>
      <c r="G9" s="39">
        <v>2525325.2799999998</v>
      </c>
    </row>
    <row r="10" spans="4:7" x14ac:dyDescent="0.35">
      <c r="D10" s="14" t="s">
        <v>9</v>
      </c>
      <c r="E10" s="12"/>
      <c r="F10" s="13"/>
      <c r="G10" s="2"/>
    </row>
    <row r="11" spans="4:7" ht="15" thickBot="1" x14ac:dyDescent="0.4">
      <c r="D11" s="16" t="s">
        <v>10</v>
      </c>
      <c r="E11" s="17"/>
      <c r="F11" s="18"/>
      <c r="G11" s="3"/>
    </row>
    <row r="12" spans="4:7" ht="21.5" thickBot="1" x14ac:dyDescent="0.55000000000000004">
      <c r="D12" s="19" t="s">
        <v>11</v>
      </c>
      <c r="E12" s="20"/>
      <c r="F12" s="21">
        <f>SUM(F8:F11)</f>
        <v>15206000</v>
      </c>
      <c r="G12" s="21">
        <f>SUM(G8:G11)</f>
        <v>4037601.32</v>
      </c>
    </row>
    <row r="15" spans="4:7" ht="15" thickBot="1" x14ac:dyDescent="0.4"/>
    <row r="16" spans="4:7" ht="19" thickBot="1" x14ac:dyDescent="0.5">
      <c r="D16" s="4">
        <v>2022</v>
      </c>
      <c r="E16" s="5"/>
      <c r="F16" s="5"/>
      <c r="G16" s="6"/>
    </row>
    <row r="17" spans="4:7" ht="15" thickBot="1" x14ac:dyDescent="0.4">
      <c r="D17" s="1" t="s">
        <v>3</v>
      </c>
      <c r="E17" s="7" t="s">
        <v>1</v>
      </c>
      <c r="F17" s="7" t="s">
        <v>5</v>
      </c>
      <c r="G17" s="1" t="s">
        <v>6</v>
      </c>
    </row>
    <row r="18" spans="4:7" x14ac:dyDescent="0.35">
      <c r="D18" s="22" t="s">
        <v>7</v>
      </c>
      <c r="E18" s="8" t="s">
        <v>2</v>
      </c>
      <c r="F18" s="9">
        <v>7002420</v>
      </c>
      <c r="G18" s="10"/>
    </row>
    <row r="19" spans="4:7" x14ac:dyDescent="0.35">
      <c r="D19" s="14" t="s">
        <v>8</v>
      </c>
      <c r="E19" s="12"/>
      <c r="F19" s="13"/>
      <c r="G19" s="10"/>
    </row>
    <row r="20" spans="4:7" x14ac:dyDescent="0.35">
      <c r="D20" s="14" t="s">
        <v>9</v>
      </c>
      <c r="E20" s="12"/>
      <c r="F20" s="13"/>
      <c r="G20" s="15"/>
    </row>
    <row r="21" spans="4:7" ht="15" thickBot="1" x14ac:dyDescent="0.4">
      <c r="D21" s="16" t="s">
        <v>10</v>
      </c>
      <c r="E21" s="17"/>
      <c r="F21" s="18"/>
      <c r="G21" s="10"/>
    </row>
    <row r="22" spans="4:7" ht="21.5" thickBot="1" x14ac:dyDescent="0.55000000000000004">
      <c r="D22" s="19" t="s">
        <v>11</v>
      </c>
      <c r="E22" s="20"/>
      <c r="F22" s="21">
        <f>SUM(F18:F21)</f>
        <v>7002420</v>
      </c>
      <c r="G22" s="21">
        <f>SUM(G18:G21)</f>
        <v>0</v>
      </c>
    </row>
    <row r="26" spans="4:7" ht="15" thickBot="1" x14ac:dyDescent="0.4"/>
    <row r="27" spans="4:7" ht="19" thickBot="1" x14ac:dyDescent="0.5">
      <c r="D27" s="4">
        <v>2023</v>
      </c>
      <c r="E27" s="5"/>
      <c r="F27" s="5"/>
      <c r="G27" s="6"/>
    </row>
    <row r="28" spans="4:7" ht="15" thickBot="1" x14ac:dyDescent="0.4">
      <c r="D28" s="1" t="s">
        <v>3</v>
      </c>
      <c r="E28" s="7" t="s">
        <v>4</v>
      </c>
      <c r="F28" s="7" t="s">
        <v>5</v>
      </c>
      <c r="G28" s="23" t="s">
        <v>6</v>
      </c>
    </row>
    <row r="29" spans="4:7" x14ac:dyDescent="0.35">
      <c r="D29" s="22" t="s">
        <v>7</v>
      </c>
      <c r="E29" s="8" t="s">
        <v>2</v>
      </c>
      <c r="F29" s="9">
        <v>6301740</v>
      </c>
      <c r="G29" s="10"/>
    </row>
    <row r="30" spans="4:7" x14ac:dyDescent="0.35">
      <c r="D30" s="14" t="s">
        <v>8</v>
      </c>
      <c r="E30" s="12"/>
      <c r="F30" s="13"/>
      <c r="G30" s="10"/>
    </row>
    <row r="31" spans="4:7" x14ac:dyDescent="0.35">
      <c r="D31" s="14" t="s">
        <v>9</v>
      </c>
      <c r="E31" s="12"/>
      <c r="F31" s="13"/>
      <c r="G31" s="10"/>
    </row>
    <row r="32" spans="4:7" ht="15" thickBot="1" x14ac:dyDescent="0.4">
      <c r="D32" s="16" t="s">
        <v>10</v>
      </c>
      <c r="E32" s="17"/>
      <c r="F32" s="18"/>
      <c r="G32" s="10"/>
    </row>
    <row r="33" spans="4:7" ht="21.5" thickBot="1" x14ac:dyDescent="0.55000000000000004">
      <c r="D33" s="19" t="s">
        <v>11</v>
      </c>
      <c r="E33" s="20"/>
      <c r="F33" s="24">
        <f>SUM(F29:F32)</f>
        <v>6301740</v>
      </c>
      <c r="G33" s="24">
        <f>SUM(G29:G32)</f>
        <v>0</v>
      </c>
    </row>
    <row r="37" spans="4:7" ht="15" thickBot="1" x14ac:dyDescent="0.4"/>
    <row r="38" spans="4:7" ht="19" thickBot="1" x14ac:dyDescent="0.5">
      <c r="D38" s="4">
        <v>2024</v>
      </c>
      <c r="E38" s="5"/>
      <c r="F38" s="5"/>
      <c r="G38" s="6"/>
    </row>
    <row r="39" spans="4:7" ht="15" thickBot="1" x14ac:dyDescent="0.4">
      <c r="D39" s="1" t="s">
        <v>3</v>
      </c>
      <c r="E39" s="7" t="s">
        <v>4</v>
      </c>
      <c r="F39" s="7" t="s">
        <v>5</v>
      </c>
      <c r="G39" s="1" t="s">
        <v>6</v>
      </c>
    </row>
    <row r="40" spans="4:7" x14ac:dyDescent="0.35">
      <c r="D40" s="22" t="s">
        <v>7</v>
      </c>
      <c r="E40" s="8" t="s">
        <v>2</v>
      </c>
      <c r="F40" s="9"/>
      <c r="G40" s="10"/>
    </row>
    <row r="41" spans="4:7" x14ac:dyDescent="0.35">
      <c r="D41" s="14" t="s">
        <v>8</v>
      </c>
      <c r="E41" s="12"/>
      <c r="F41" s="13"/>
      <c r="G41" s="10"/>
    </row>
    <row r="42" spans="4:7" x14ac:dyDescent="0.35">
      <c r="D42" s="14" t="s">
        <v>9</v>
      </c>
      <c r="E42" s="12"/>
      <c r="F42" s="13"/>
      <c r="G42" s="10"/>
    </row>
    <row r="43" spans="4:7" ht="15" thickBot="1" x14ac:dyDescent="0.4">
      <c r="D43" s="16" t="s">
        <v>10</v>
      </c>
      <c r="E43" s="17"/>
      <c r="F43" s="18"/>
      <c r="G43" s="10"/>
    </row>
    <row r="44" spans="4:7" ht="21.5" thickBot="1" x14ac:dyDescent="0.55000000000000004">
      <c r="D44" s="19" t="s">
        <v>11</v>
      </c>
      <c r="E44" s="20"/>
      <c r="F44" s="24">
        <f>SUM(F40:F43)</f>
        <v>0</v>
      </c>
      <c r="G44" s="24">
        <f>SUM(G40:G43)</f>
        <v>0</v>
      </c>
    </row>
    <row r="48" spans="4:7" ht="15" thickBot="1" x14ac:dyDescent="0.4"/>
    <row r="49" spans="4:7" ht="19" thickBot="1" x14ac:dyDescent="0.5">
      <c r="D49" s="4">
        <v>2025</v>
      </c>
      <c r="E49" s="5"/>
      <c r="F49" s="5"/>
      <c r="G49" s="6"/>
    </row>
    <row r="50" spans="4:7" ht="15" thickBot="1" x14ac:dyDescent="0.4">
      <c r="D50" s="1" t="s">
        <v>3</v>
      </c>
      <c r="E50" s="7" t="s">
        <v>4</v>
      </c>
      <c r="F50" s="7" t="s">
        <v>5</v>
      </c>
      <c r="G50" s="1" t="s">
        <v>6</v>
      </c>
    </row>
    <row r="51" spans="4:7" x14ac:dyDescent="0.35">
      <c r="D51" s="22" t="s">
        <v>7</v>
      </c>
      <c r="E51" s="8" t="s">
        <v>2</v>
      </c>
      <c r="F51" s="25"/>
      <c r="G51" s="26"/>
    </row>
    <row r="52" spans="4:7" x14ac:dyDescent="0.35">
      <c r="D52" s="14" t="s">
        <v>8</v>
      </c>
      <c r="E52" s="12"/>
      <c r="F52" s="27"/>
      <c r="G52" s="28"/>
    </row>
    <row r="53" spans="4:7" x14ac:dyDescent="0.35">
      <c r="D53" s="14" t="s">
        <v>9</v>
      </c>
      <c r="E53" s="12"/>
      <c r="F53" s="27"/>
      <c r="G53" s="28"/>
    </row>
    <row r="54" spans="4:7" ht="15" thickBot="1" x14ac:dyDescent="0.4">
      <c r="D54" s="16" t="s">
        <v>10</v>
      </c>
      <c r="E54" s="17"/>
      <c r="F54" s="29"/>
      <c r="G54" s="30"/>
    </row>
    <row r="55" spans="4:7" ht="21.5" thickBot="1" x14ac:dyDescent="0.55000000000000004">
      <c r="D55" s="19" t="s">
        <v>11</v>
      </c>
      <c r="E55" s="20"/>
      <c r="F55" s="24">
        <f>SUM(F51:F54)</f>
        <v>0</v>
      </c>
      <c r="G55" s="24">
        <f>SUM(G51:G54)</f>
        <v>0</v>
      </c>
    </row>
    <row r="59" spans="4:7" ht="15" thickBot="1" x14ac:dyDescent="0.4"/>
    <row r="60" spans="4:7" ht="21.5" thickBot="1" x14ac:dyDescent="0.55000000000000004">
      <c r="D60" s="19" t="s">
        <v>12</v>
      </c>
      <c r="E60" s="20"/>
      <c r="F60" s="20"/>
      <c r="G60" s="31"/>
    </row>
    <row r="61" spans="4:7" ht="19" thickBot="1" x14ac:dyDescent="0.5">
      <c r="D61" s="32" t="s">
        <v>4</v>
      </c>
      <c r="E61" s="32" t="s">
        <v>13</v>
      </c>
      <c r="F61" s="33" t="s">
        <v>14</v>
      </c>
      <c r="G61" s="32" t="s">
        <v>15</v>
      </c>
    </row>
    <row r="62" spans="4:7" ht="21.5" thickBot="1" x14ac:dyDescent="0.55000000000000004">
      <c r="D62" s="34" t="s">
        <v>16</v>
      </c>
      <c r="E62" s="21">
        <f>F55+F44+F33+F22+F12</f>
        <v>28510160</v>
      </c>
      <c r="F62" s="21">
        <f>G55+G44+G33+G22+G12</f>
        <v>4037601.32</v>
      </c>
      <c r="G62" s="21">
        <f>E62-F62</f>
        <v>24472558.68</v>
      </c>
    </row>
  </sheetData>
  <mergeCells count="21">
    <mergeCell ref="D49:G49"/>
    <mergeCell ref="E51:E54"/>
    <mergeCell ref="F51:F54"/>
    <mergeCell ref="D55:E55"/>
    <mergeCell ref="D60:G60"/>
    <mergeCell ref="D33:E33"/>
    <mergeCell ref="D38:G38"/>
    <mergeCell ref="E40:E43"/>
    <mergeCell ref="F40:F43"/>
    <mergeCell ref="D44:E44"/>
    <mergeCell ref="E18:E21"/>
    <mergeCell ref="F18:F21"/>
    <mergeCell ref="D22:E22"/>
    <mergeCell ref="D27:G27"/>
    <mergeCell ref="E29:E32"/>
    <mergeCell ref="F29:F32"/>
    <mergeCell ref="D6:G6"/>
    <mergeCell ref="E8:E11"/>
    <mergeCell ref="F8:F11"/>
    <mergeCell ref="D12:E12"/>
    <mergeCell ref="D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MTN</vt:lpstr>
      <vt:lpstr>TELECEL</vt:lpstr>
      <vt:lpstr>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Quartey</dc:creator>
  <cp:lastModifiedBy>James  Quartey</cp:lastModifiedBy>
  <dcterms:created xsi:type="dcterms:W3CDTF">2026-04-23T10:24:51Z</dcterms:created>
  <dcterms:modified xsi:type="dcterms:W3CDTF">2026-06-05T16:06:34Z</dcterms:modified>
</cp:coreProperties>
</file>