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8="http://schemas.microsoft.com/office/spreadsheetml/2018/calcfeatures" xmlns:r="http://schemas.openxmlformats.org/officeDocument/2006/relationships" ns1:Ignorable="x15 xr xr6 xr10 xr2">
  <fileVersion appName="xl" lastEdited="7" lowestEdited="7" rupBuild="30026"/>
  <workbookPr showInkAnnotation="0"/>
  <ns1:AlternateContent>
    <ns1:Choice Requires="x15">
      <ns2:absPath url="C:\Users\codro\Desktop\Project Financial Dasshboards\"/>
    </ns1:Choice>
  </ns1:AlternateContent>
  <ns3:revisionPtr revIDLastSave="0" documentId="8_{B86E339B-314E-4117-9504-34082DC974A7}" ns4:coauthVersionLast="47" ns4:coauthVersionMax="47" ns5:uidLastSave="{00000000-0000-0000-0000-000000000000}"/>
  <bookViews>
    <workbookView xWindow="-110" yWindow="-110" windowWidth="22620" windowHeight="13500" firstSheet="5" activeTab="5" ns6:uid="{A6F2BFBB-60BA-44C9-A7CC-400C66B04E80}"/>
  </bookViews>
  <sheets>
    <sheet name="ICH 2021" sheetId="1" r:id="rId1"/>
    <sheet name="ICH 2022" sheetId="3" r:id="rId2"/>
    <sheet name="ICH 2023" sheetId="4" r:id="rId3"/>
    <sheet name="ICH 2024" sheetId="5" r:id="rId4"/>
    <sheet name="ICH 2025" sheetId="6" r:id="rId5"/>
    <sheet name="1% PAYMENTS RECEIVED 2021" sheetId="7" r:id="rId6"/>
    <sheet name="1% PAYMENTS RECEIVED 2022" sheetId="8" r:id="rId7"/>
    <sheet name="1% PAYMENTS RECEIVED 2023" sheetId="9" r:id="rId8"/>
    <sheet name="1% PAYMENTS RECEIVED 2024" sheetId="10" r:id="rId9"/>
    <sheet name="1% PAYMENTS RECEIVED 2025" sheetId="11" r:id="rId10"/>
    <sheet name="Summary 1%" sheetId="12" r:id="rId11"/>
  </sheets>
  <calcPr calcId="191029"/>
  <extLs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  <ns8:feature name="microsoft.com:ARRAYTEXT_WF"/>
      </ns8:calcFeatures>
    </ext>
  </extLst>
</workbook>
</file>

<file path=xl/calcChain.xml><?xml version="1.0" encoding="utf-8"?>
<calcChain xmlns="http://schemas.openxmlformats.org/spreadsheetml/2006/main">
  <c r="E5" i="12" l="1"/>
  <c r="D5" i="12"/>
  <c r="F9" i="11"/>
  <c r="E9" i="11"/>
  <c r="F9" i="10"/>
  <c r="E9" i="10"/>
  <c r="E5" i="10"/>
  <c r="F9" i="9"/>
  <c r="E9" i="9"/>
  <c r="E5" i="9"/>
  <c r="F9" i="8"/>
  <c r="E9" i="8"/>
  <c r="E5" i="8"/>
  <c r="F9" i="7"/>
  <c r="E9" i="7"/>
  <c r="E5" i="7"/>
  <c r="D24" i="5"/>
  <c r="D20" i="5"/>
  <c r="D17" i="5"/>
  <c r="D13" i="5"/>
  <c r="D10" i="5"/>
  <c r="D24" i="4"/>
  <c r="D20" i="4"/>
  <c r="D17" i="4"/>
  <c r="D13" i="4"/>
  <c r="D10" i="4"/>
  <c r="D24" i="3"/>
  <c r="D20" i="3"/>
  <c r="D17" i="3"/>
  <c r="D13" i="3"/>
  <c r="D10" i="3"/>
  <c r="D10" i="1"/>
  <c r="D13" i="1"/>
  <c r="D17" i="1"/>
  <c r="D20" i="1"/>
  <c r="D24" i="1"/>
  <c r="F5" i="12" l="1"/>
  <c r="E6" i="12"/>
  <c r="D6" i="12"/>
  <c r="F6" i="12" s="1"/>
</calcChain>
</file>

<file path=xl/sharedStrings.xml><?xml version="1.0" encoding="utf-8"?>
<sst xmlns="http://schemas.openxmlformats.org/spreadsheetml/2006/main" count="167" uniqueCount="36">
  <si>
    <t>Key Indicators /Year</t>
  </si>
  <si>
    <t>AFRIWAVE</t>
  </si>
  <si>
    <t>REVENUE</t>
  </si>
  <si>
    <t>EXPENDITURE</t>
  </si>
  <si>
    <t>COST OF SALES</t>
  </si>
  <si>
    <t>GROSS PROFIT</t>
  </si>
  <si>
    <t>EBITDA</t>
  </si>
  <si>
    <t>EBITDA MARGIN</t>
  </si>
  <si>
    <t xml:space="preserve">NET PROFIT  </t>
  </si>
  <si>
    <t>CAPEX</t>
  </si>
  <si>
    <t>NET PROFIT MARGIN</t>
  </si>
  <si>
    <t>NET PROFIT BEFORE TAX</t>
  </si>
  <si>
    <t>CURRENT ASSETS</t>
  </si>
  <si>
    <t>NON-CURRENT ASSETS</t>
  </si>
  <si>
    <t>TOTAL ASSETS</t>
  </si>
  <si>
    <t>CURRENT LIABILITIES</t>
  </si>
  <si>
    <t>NON-CURRENT LIABILITIES</t>
  </si>
  <si>
    <t>TOTAL LIABILITIES</t>
  </si>
  <si>
    <t>TOTAL CASH AND CASH EQUIVALENTS</t>
  </si>
  <si>
    <t>TOTAL EQUITY</t>
  </si>
  <si>
    <t>TOTAL DEBT</t>
  </si>
  <si>
    <t>TOTAL ENTERPRISE VALUE</t>
  </si>
  <si>
    <t>PERIOD</t>
  </si>
  <si>
    <t>OPERATOR</t>
  </si>
  <si>
    <t>INVOICE ISSUED (GHS)</t>
  </si>
  <si>
    <t>PAYMENT RECEIVED (GHS)</t>
  </si>
  <si>
    <t>Q1</t>
  </si>
  <si>
    <t>Q2</t>
  </si>
  <si>
    <t>Q3</t>
  </si>
  <si>
    <t>Q4</t>
  </si>
  <si>
    <t>YEAR TOTAL</t>
  </si>
  <si>
    <t>SUMMARY OF 1% REGULATORY FEES INVOICED AND RECEIVED FROM 2021 TO 2025</t>
  </si>
  <si>
    <t>TOTAL INVOICED</t>
  </si>
  <si>
    <t>TOTAL RECEIVED</t>
  </si>
  <si>
    <t>OUTSTANDING RECEIVABLES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</si>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</sst>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(* #,##0.00_);_(* \(#,##0.0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8"/>
      <color theme="1"/>
      <name val="Algerian"/>
      <family val="5"/>
    </font>
    <font>
      <b/>
      <sz val="20"/>
      <color theme="1"/>
      <name val="Algerian"/>
      <family val="5"/>
    </font>
    <font>
      <b/>
      <sz val="18"/>
      <color rgb="FF00000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3" fillId="0" borderId="1" xfId="0" applyFont="1" applyBorder="1"/>
    <xf numFmtId="171" fontId="3" fillId="0" borderId="1" xfId="1" applyFont="1" applyBorder="1"/>
    <xf numFmtId="0" fontId="0" fillId="0" borderId="1" xfId="0" applyBorder="1"/>
    <xf numFmtId="0" fontId="0" fillId="0" borderId="12" xfId="0" applyBorder="1"/>
    <xf numFmtId="4" fontId="0" fillId="0" borderId="14" xfId="0" applyNumberFormat="1" applyBorder="1"/>
    <xf numFmtId="0" fontId="0" fillId="0" borderId="15" xfId="0" applyBorder="1"/>
    <xf numFmtId="0" fontId="0" fillId="0" borderId="14" xfId="0" applyBorder="1"/>
    <xf numFmtId="171" fontId="3" fillId="0" borderId="1" xfId="0" applyNumberFormat="1" applyFont="1" applyBorder="1"/>
    <xf numFmtId="0" fontId="0" fillId="0" borderId="2" xfId="0" applyBorder="1"/>
    <xf numFmtId="171" fontId="1" fillId="0" borderId="16" xfId="1" applyFont="1" applyBorder="1"/>
    <xf numFmtId="171" fontId="1" fillId="0" borderId="17" xfId="1" applyFont="1" applyBorder="1"/>
    <xf numFmtId="0" fontId="0" fillId="0" borderId="18" xfId="0" applyBorder="1"/>
    <xf numFmtId="0" fontId="2" fillId="0" borderId="1" xfId="0" applyFont="1" applyBorder="1"/>
    <xf numFmtId="0" fontId="2" fillId="0" borderId="9" xfId="0" applyFont="1" applyBorder="1"/>
    <xf numFmtId="0" fontId="4" fillId="0" borderId="1" xfId="0" applyFont="1" applyBorder="1"/>
    <xf numFmtId="171" fontId="5" fillId="0" borderId="1" xfId="0" applyNumberFormat="1" applyFont="1" applyBorder="1"/>
    <xf numFmtId="171" fontId="0" fillId="0" borderId="1" xfId="0" applyNumberFormat="1" applyBorder="1"/>
    <xf numFmtId="0" fontId="6" fillId="0" borderId="9" xfId="0" applyFont="1" applyBorder="1"/>
    <xf numFmtId="0" fontId="6" fillId="0" borderId="1" xfId="0" applyFont="1" applyBorder="1" applyAlignment="1">
      <alignment horizontal="center" vertical="center"/>
    </xf>
    <xf numFmtId="0" fontId="7" fillId="2" borderId="9" xfId="0" applyFont="1" applyFill="1" applyBorder="1"/>
    <xf numFmtId="4" fontId="8" fillId="2" borderId="1" xfId="0" applyNumberFormat="1" applyFont="1" applyFill="1" applyBorder="1" applyAlignment="1">
      <alignment vertical="center"/>
    </xf>
    <xf numFmtId="0" fontId="7" fillId="2" borderId="19" xfId="0" applyFont="1" applyFill="1" applyBorder="1"/>
    <xf numFmtId="0" fontId="7" fillId="2" borderId="1" xfId="0" applyFont="1" applyFill="1" applyBorder="1" applyAlignment="1">
      <alignment vertical="center"/>
    </xf>
    <xf numFmtId="4" fontId="8" fillId="2" borderId="2" xfId="0" applyNumberFormat="1" applyFont="1" applyFill="1" applyBorder="1" applyAlignment="1">
      <alignment vertical="center"/>
    </xf>
    <xf numFmtId="4" fontId="9" fillId="2" borderId="13" xfId="0" applyNumberFormat="1" applyFont="1" applyFill="1" applyBorder="1" applyAlignment="1">
      <alignment vertical="center"/>
    </xf>
    <xf numFmtId="10" fontId="9" fillId="2" borderId="12" xfId="2" applyNumberFormat="1" applyFont="1" applyFill="1" applyBorder="1" applyAlignment="1">
      <alignment vertical="center"/>
    </xf>
    <xf numFmtId="10" fontId="9" fillId="2" borderId="1" xfId="2" applyNumberFormat="1" applyFont="1" applyFill="1" applyBorder="1" applyAlignment="1">
      <alignment vertical="center"/>
    </xf>
    <xf numFmtId="4" fontId="9" fillId="2" borderId="1" xfId="1" applyNumberFormat="1" applyFont="1" applyFill="1" applyBorder="1" applyAlignment="1">
      <alignment vertical="center"/>
    </xf>
    <xf numFmtId="4" fontId="9" fillId="2" borderId="1" xfId="0" applyNumberFormat="1" applyFont="1" applyFill="1" applyBorder="1" applyAlignment="1">
      <alignment vertical="center"/>
    </xf>
    <xf numFmtId="0" fontId="7" fillId="2" borderId="20" xfId="0" applyFont="1" applyFill="1" applyBorder="1"/>
    <xf numFmtId="2" fontId="0" fillId="0" borderId="0" xfId="0" applyNumberFormat="1"/>
    <xf numFmtId="4" fontId="9" fillId="2" borderId="12" xfId="2" applyNumberFormat="1" applyFont="1" applyFill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71" fontId="1" fillId="0" borderId="2" xfId="1" applyFont="1" applyBorder="1" applyAlignment="1">
      <alignment horizontal="center" vertical="center"/>
    </xf>
    <xf numFmtId="171" fontId="1" fillId="0" borderId="12" xfId="1" applyFont="1" applyBorder="1" applyAlignment="1">
      <alignment horizontal="center" vertical="center"/>
    </xf>
    <xf numFmtId="171" fontId="1" fillId="0" borderId="13" xfId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B6A9-474F-40B1-9F7C-186183428E27}">
  <dimension ref="B2:H59"/>
  <sheetViews>
    <sheetView zoomScale="62" workbookViewId="0">
      <selection activeCell="D123" sqref="D123"/>
    </sheetView>
  </sheetViews>
  <sheetFormatPr defaultColWidth="9.1796875" defaultRowHeight="14.5" x14ac:dyDescent="0.35"/>
  <cols>
    <col min="3" max="3" width="70.08984375" customWidth="1"/>
    <col min="4" max="4" width="40.54296875" customWidth="1"/>
    <col min="7" max="8" width="11.81640625" bestFit="1" customWidth="1"/>
  </cols>
  <sheetData>
    <row r="2" spans="2:5" x14ac:dyDescent="0.35">
      <c r="B2" s="1"/>
      <c r="C2" s="1"/>
      <c r="D2" s="1"/>
      <c r="E2" s="1"/>
    </row>
    <row r="3" spans="2:5" ht="40" x14ac:dyDescent="0.35">
      <c r="B3" s="1"/>
      <c r="C3" s="37">
        <v>2021</v>
      </c>
      <c r="D3" s="38"/>
      <c r="E3" s="1"/>
    </row>
    <row r="4" spans="2:5" ht="40" x14ac:dyDescent="0.95">
      <c r="B4" s="1"/>
      <c r="C4" s="22" t="s">
        <v>0</v>
      </c>
      <c r="D4" s="23" t="s">
        <v>1</v>
      </c>
      <c r="E4" s="1"/>
    </row>
    <row r="5" spans="2:5" ht="28" x14ac:dyDescent="0.65">
      <c r="B5" s="1"/>
      <c r="C5" s="24" t="s">
        <v>2</v>
      </c>
      <c r="D5" s="25">
        <v>37410476</v>
      </c>
      <c r="E5" s="1"/>
    </row>
    <row r="6" spans="2:5" ht="28" x14ac:dyDescent="0.65">
      <c r="B6" s="1"/>
      <c r="C6" s="26" t="s">
        <v>3</v>
      </c>
      <c r="D6" s="25">
        <v>17177933</v>
      </c>
      <c r="E6" s="1"/>
    </row>
    <row r="7" spans="2:5" ht="28" x14ac:dyDescent="0.35">
      <c r="B7" s="1"/>
      <c r="C7" s="27" t="s">
        <v>4</v>
      </c>
      <c r="D7" s="28">
        <v>18753687</v>
      </c>
      <c r="E7" s="1"/>
    </row>
    <row r="8" spans="2:5" ht="28" x14ac:dyDescent="0.65">
      <c r="B8" s="1"/>
      <c r="C8" s="24" t="s">
        <v>5</v>
      </c>
      <c r="D8" s="25">
        <v>18656789</v>
      </c>
      <c r="E8" s="1"/>
    </row>
    <row r="9" spans="2:5" ht="28" x14ac:dyDescent="0.65">
      <c r="B9" s="1"/>
      <c r="C9" s="24" t="s">
        <v>6</v>
      </c>
      <c r="D9" s="29">
        <v>11455107</v>
      </c>
      <c r="E9" s="1"/>
    </row>
    <row r="10" spans="2:5" ht="28" x14ac:dyDescent="0.65">
      <c r="B10" s="1"/>
      <c r="C10" s="24" t="s">
        <v>7</v>
      </c>
      <c r="D10" s="30">
        <f>D9/D5</f>
        <v>0.30620051452967345</v>
      </c>
      <c r="E10" s="1"/>
    </row>
    <row r="11" spans="2:5" ht="28" x14ac:dyDescent="0.65">
      <c r="B11" s="1"/>
      <c r="C11" s="24" t="s">
        <v>8</v>
      </c>
      <c r="D11" s="25">
        <v>-4893501</v>
      </c>
      <c r="E11" s="1"/>
    </row>
    <row r="12" spans="2:5" ht="28" x14ac:dyDescent="0.65">
      <c r="B12" s="1"/>
      <c r="C12" s="24" t="s">
        <v>9</v>
      </c>
      <c r="D12" s="25">
        <v>39829752</v>
      </c>
      <c r="E12" s="1"/>
    </row>
    <row r="13" spans="2:5" ht="28" x14ac:dyDescent="0.65">
      <c r="B13" s="1"/>
      <c r="C13" s="24" t="s">
        <v>10</v>
      </c>
      <c r="D13" s="31">
        <f>D11/D5</f>
        <v>-0.13080563316008062</v>
      </c>
      <c r="E13" s="1"/>
    </row>
    <row r="14" spans="2:5" ht="28" x14ac:dyDescent="0.65">
      <c r="B14" s="1"/>
      <c r="C14" s="24" t="s">
        <v>11</v>
      </c>
      <c r="D14" s="25">
        <v>-4893501</v>
      </c>
      <c r="E14" s="1"/>
    </row>
    <row r="15" spans="2:5" ht="28" x14ac:dyDescent="0.65">
      <c r="B15" s="1"/>
      <c r="C15" s="24" t="s">
        <v>12</v>
      </c>
      <c r="D15" s="32">
        <v>23084743</v>
      </c>
      <c r="E15" s="1"/>
    </row>
    <row r="16" spans="2:5" ht="28" x14ac:dyDescent="0.65">
      <c r="B16" s="1"/>
      <c r="C16" s="24" t="s">
        <v>13</v>
      </c>
      <c r="D16" s="32">
        <v>65136722</v>
      </c>
      <c r="E16" s="1"/>
    </row>
    <row r="17" spans="2:5" ht="28" x14ac:dyDescent="0.65">
      <c r="B17" s="1"/>
      <c r="C17" s="24" t="s">
        <v>14</v>
      </c>
      <c r="D17" s="33">
        <f>D15+D16</f>
        <v>88221465</v>
      </c>
      <c r="E17" s="1"/>
    </row>
    <row r="18" spans="2:5" ht="28" x14ac:dyDescent="0.65">
      <c r="B18" s="1"/>
      <c r="C18" s="24" t="s">
        <v>15</v>
      </c>
      <c r="D18" s="32">
        <v>78684711</v>
      </c>
      <c r="E18" s="1"/>
    </row>
    <row r="19" spans="2:5" ht="28" x14ac:dyDescent="0.65">
      <c r="B19" s="1"/>
      <c r="C19" s="24" t="s">
        <v>16</v>
      </c>
      <c r="D19" s="32">
        <v>48364902</v>
      </c>
      <c r="E19" s="1"/>
    </row>
    <row r="20" spans="2:5" ht="28" x14ac:dyDescent="0.65">
      <c r="B20" s="1"/>
      <c r="C20" s="24" t="s">
        <v>17</v>
      </c>
      <c r="D20" s="32">
        <f>D18+D19</f>
        <v>127049613</v>
      </c>
      <c r="E20" s="1"/>
    </row>
    <row r="21" spans="2:5" ht="28" x14ac:dyDescent="0.65">
      <c r="B21" s="1"/>
      <c r="C21" s="24" t="s">
        <v>18</v>
      </c>
      <c r="D21" s="32">
        <v>1540680</v>
      </c>
      <c r="E21" s="1"/>
    </row>
    <row r="22" spans="2:5" ht="28" x14ac:dyDescent="0.65">
      <c r="B22" s="1"/>
      <c r="C22" s="24" t="s">
        <v>19</v>
      </c>
      <c r="D22" s="32">
        <v>-38828147</v>
      </c>
      <c r="E22" s="1"/>
    </row>
    <row r="23" spans="2:5" ht="28" x14ac:dyDescent="0.65">
      <c r="B23" s="1"/>
      <c r="C23" s="24" t="s">
        <v>20</v>
      </c>
      <c r="D23" s="32">
        <v>50458077</v>
      </c>
      <c r="E23" s="1"/>
    </row>
    <row r="24" spans="2:5" ht="28" x14ac:dyDescent="0.65">
      <c r="B24" s="1"/>
      <c r="C24" s="34" t="s">
        <v>21</v>
      </c>
      <c r="D24" s="33">
        <f>(D23+D22)-D21</f>
        <v>10089250</v>
      </c>
      <c r="E24" s="1"/>
    </row>
    <row r="25" spans="2:5" x14ac:dyDescent="0.35">
      <c r="B25" s="1"/>
      <c r="C25" s="1"/>
      <c r="D25" s="1"/>
      <c r="E25" s="1"/>
    </row>
    <row r="29" spans="2:5" x14ac:dyDescent="0.35">
      <c r="C29" s="1"/>
      <c r="D29" s="1"/>
    </row>
    <row r="59" spans="7:8" x14ac:dyDescent="0.35">
      <c r="G59" s="35"/>
      <c r="H59" s="35"/>
    </row>
  </sheetData>
  <mergeCells count="1"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2221-300F-43C4-BC43-73AA6E8D8989}">
  <dimension ref="C2:D24"/>
  <sheetViews>
    <sheetView zoomScale="60" zoomScaleNormal="60" workbookViewId="0">
      <selection activeCell="C3" sqref="C3:D24"/>
    </sheetView>
  </sheetViews>
  <sheetFormatPr defaultRowHeight="14.5" x14ac:dyDescent="0.35"/>
  <cols>
    <col min="3" max="3" width="69.1796875" bestFit="1" customWidth="1"/>
    <col min="4" max="4" width="28.6328125" bestFit="1" customWidth="1"/>
  </cols>
  <sheetData>
    <row r="2" spans="3:4" ht="15" thickBot="1" x14ac:dyDescent="0.4"/>
    <row r="3" spans="3:4" ht="40.5" thickBot="1" x14ac:dyDescent="0.4">
      <c r="C3" s="37">
        <v>2022</v>
      </c>
      <c r="D3" s="38"/>
    </row>
    <row r="4" spans="3:4" ht="40.5" thickBot="1" x14ac:dyDescent="1">
      <c r="C4" s="22" t="s">
        <v>0</v>
      </c>
      <c r="D4" s="23" t="s">
        <v>1</v>
      </c>
    </row>
    <row r="5" spans="3:4" ht="28.5" thickBot="1" x14ac:dyDescent="0.7">
      <c r="C5" s="24" t="s">
        <v>2</v>
      </c>
      <c r="D5" s="25">
        <v>56516635</v>
      </c>
    </row>
    <row r="6" spans="3:4" ht="28.5" thickBot="1" x14ac:dyDescent="0.7">
      <c r="C6" s="26" t="s">
        <v>3</v>
      </c>
      <c r="D6" s="25">
        <v>25087850</v>
      </c>
    </row>
    <row r="7" spans="3:4" ht="28.5" thickBot="1" x14ac:dyDescent="0.4">
      <c r="C7" s="27" t="s">
        <v>4</v>
      </c>
      <c r="D7" s="28">
        <v>27354581</v>
      </c>
    </row>
    <row r="8" spans="3:4" ht="28.5" thickBot="1" x14ac:dyDescent="0.7">
      <c r="C8" s="24" t="s">
        <v>5</v>
      </c>
      <c r="D8" s="25">
        <v>29162054</v>
      </c>
    </row>
    <row r="9" spans="3:4" ht="28.5" thickBot="1" x14ac:dyDescent="0.7">
      <c r="C9" s="24" t="s">
        <v>6</v>
      </c>
      <c r="D9" s="29">
        <v>12399347</v>
      </c>
    </row>
    <row r="10" spans="3:4" ht="28.5" thickBot="1" x14ac:dyDescent="0.7">
      <c r="C10" s="24" t="s">
        <v>7</v>
      </c>
      <c r="D10" s="30">
        <f>D9/D5</f>
        <v>0.21939287432806287</v>
      </c>
    </row>
    <row r="11" spans="3:4" ht="28.5" thickBot="1" x14ac:dyDescent="0.7">
      <c r="C11" s="24" t="s">
        <v>8</v>
      </c>
      <c r="D11" s="25">
        <v>-10747351</v>
      </c>
    </row>
    <row r="12" spans="3:4" ht="28.5" thickBot="1" x14ac:dyDescent="0.7">
      <c r="C12" s="24" t="s">
        <v>9</v>
      </c>
      <c r="D12" s="25"/>
    </row>
    <row r="13" spans="3:4" ht="28.5" thickBot="1" x14ac:dyDescent="0.7">
      <c r="C13" s="24" t="s">
        <v>10</v>
      </c>
      <c r="D13" s="31">
        <f>D11/D5</f>
        <v>-0.19016261318459601</v>
      </c>
    </row>
    <row r="14" spans="3:4" ht="28.5" thickBot="1" x14ac:dyDescent="0.7">
      <c r="C14" s="24" t="s">
        <v>11</v>
      </c>
      <c r="D14" s="25">
        <v>-3953726</v>
      </c>
    </row>
    <row r="15" spans="3:4" ht="28.5" thickBot="1" x14ac:dyDescent="0.7">
      <c r="C15" s="24" t="s">
        <v>12</v>
      </c>
      <c r="D15" s="32">
        <v>32424087</v>
      </c>
    </row>
    <row r="16" spans="3:4" ht="28.5" thickBot="1" x14ac:dyDescent="0.7">
      <c r="C16" s="24" t="s">
        <v>13</v>
      </c>
      <c r="D16" s="32">
        <v>57381263</v>
      </c>
    </row>
    <row r="17" spans="3:4" ht="28.5" thickBot="1" x14ac:dyDescent="0.7">
      <c r="C17" s="24" t="s">
        <v>14</v>
      </c>
      <c r="D17" s="33">
        <f>D15+D16</f>
        <v>89805350</v>
      </c>
    </row>
    <row r="18" spans="3:4" ht="28.5" thickBot="1" x14ac:dyDescent="0.7">
      <c r="C18" s="24" t="s">
        <v>15</v>
      </c>
      <c r="D18" s="32">
        <v>89835228</v>
      </c>
    </row>
    <row r="19" spans="3:4" ht="28.5" thickBot="1" x14ac:dyDescent="0.7">
      <c r="C19" s="24" t="s">
        <v>16</v>
      </c>
      <c r="D19" s="32">
        <v>49545620</v>
      </c>
    </row>
    <row r="20" spans="3:4" ht="28.5" thickBot="1" x14ac:dyDescent="0.7">
      <c r="C20" s="24" t="s">
        <v>17</v>
      </c>
      <c r="D20" s="32">
        <f>D18+D19</f>
        <v>139380848</v>
      </c>
    </row>
    <row r="21" spans="3:4" ht="28.5" thickBot="1" x14ac:dyDescent="0.7">
      <c r="C21" s="24" t="s">
        <v>18</v>
      </c>
      <c r="D21" s="32">
        <v>1481612</v>
      </c>
    </row>
    <row r="22" spans="3:4" ht="28.5" thickBot="1" x14ac:dyDescent="0.7">
      <c r="C22" s="24" t="s">
        <v>19</v>
      </c>
      <c r="D22" s="32">
        <v>-49575498</v>
      </c>
    </row>
    <row r="23" spans="3:4" ht="28.5" thickBot="1" x14ac:dyDescent="0.7">
      <c r="C23" s="24" t="s">
        <v>20</v>
      </c>
      <c r="D23" s="32">
        <v>45676316</v>
      </c>
    </row>
    <row r="24" spans="3:4" ht="28.5" thickBot="1" x14ac:dyDescent="0.7">
      <c r="C24" s="34" t="s">
        <v>21</v>
      </c>
      <c r="D24" s="33">
        <f>(D23+D22)-D21</f>
        <v>-5380794</v>
      </c>
    </row>
  </sheetData>
  <mergeCells count="1">
    <mergeCell ref="C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889E4-3882-44FF-AAB0-E9533C5CF7B0}">
  <dimension ref="C2:D24"/>
  <sheetViews>
    <sheetView zoomScale="60" zoomScaleNormal="60" workbookViewId="0">
      <selection activeCell="C3" sqref="C3:D24"/>
    </sheetView>
  </sheetViews>
  <sheetFormatPr defaultRowHeight="14.5" x14ac:dyDescent="0.35"/>
  <cols>
    <col min="3" max="3" width="69.1796875" bestFit="1" customWidth="1"/>
    <col min="4" max="4" width="28.6328125" bestFit="1" customWidth="1"/>
  </cols>
  <sheetData>
    <row r="2" spans="3:4" ht="15" thickBot="1" x14ac:dyDescent="0.4"/>
    <row r="3" spans="3:4" ht="40.5" thickBot="1" x14ac:dyDescent="0.4">
      <c r="C3" s="37">
        <v>2023</v>
      </c>
      <c r="D3" s="38"/>
    </row>
    <row r="4" spans="3:4" ht="40.5" thickBot="1" x14ac:dyDescent="1">
      <c r="C4" s="22" t="s">
        <v>0</v>
      </c>
      <c r="D4" s="23" t="s">
        <v>1</v>
      </c>
    </row>
    <row r="5" spans="3:4" ht="28.5" thickBot="1" x14ac:dyDescent="0.7">
      <c r="C5" s="24" t="s">
        <v>2</v>
      </c>
      <c r="D5" s="25">
        <v>62316482</v>
      </c>
    </row>
    <row r="6" spans="3:4" ht="28.5" thickBot="1" x14ac:dyDescent="0.7">
      <c r="C6" s="26" t="s">
        <v>3</v>
      </c>
      <c r="D6" s="25">
        <v>19805544</v>
      </c>
    </row>
    <row r="7" spans="3:4" ht="28.5" thickBot="1" x14ac:dyDescent="0.4">
      <c r="C7" s="27" t="s">
        <v>4</v>
      </c>
      <c r="D7" s="28">
        <v>29846345</v>
      </c>
    </row>
    <row r="8" spans="3:4" ht="28.5" thickBot="1" x14ac:dyDescent="0.7">
      <c r="C8" s="24" t="s">
        <v>5</v>
      </c>
      <c r="D8" s="25">
        <v>32470137</v>
      </c>
    </row>
    <row r="9" spans="3:4" ht="28.5" thickBot="1" x14ac:dyDescent="0.7">
      <c r="C9" s="24" t="s">
        <v>6</v>
      </c>
      <c r="D9" s="29">
        <v>25958628</v>
      </c>
    </row>
    <row r="10" spans="3:4" ht="28.5" thickBot="1" x14ac:dyDescent="0.7">
      <c r="C10" s="24" t="s">
        <v>7</v>
      </c>
      <c r="D10" s="30">
        <f>D9/D5</f>
        <v>0.41656119162824373</v>
      </c>
    </row>
    <row r="11" spans="3:4" ht="28.5" thickBot="1" x14ac:dyDescent="0.7">
      <c r="C11" s="24" t="s">
        <v>8</v>
      </c>
      <c r="D11" s="25">
        <v>4129747</v>
      </c>
    </row>
    <row r="12" spans="3:4" ht="28.5" thickBot="1" x14ac:dyDescent="0.7">
      <c r="C12" s="24" t="s">
        <v>9</v>
      </c>
      <c r="D12" s="25">
        <v>0</v>
      </c>
    </row>
    <row r="13" spans="3:4" ht="28.5" thickBot="1" x14ac:dyDescent="0.7">
      <c r="C13" s="24" t="s">
        <v>10</v>
      </c>
      <c r="D13" s="31">
        <f>D11/D5</f>
        <v>6.6270541395452978E-2</v>
      </c>
    </row>
    <row r="14" spans="3:4" ht="28.5" thickBot="1" x14ac:dyDescent="0.7">
      <c r="C14" s="24" t="s">
        <v>11</v>
      </c>
      <c r="D14" s="25">
        <v>4129747</v>
      </c>
    </row>
    <row r="15" spans="3:4" ht="28.5" thickBot="1" x14ac:dyDescent="0.7">
      <c r="C15" s="24" t="s">
        <v>12</v>
      </c>
      <c r="D15" s="32">
        <v>39956804</v>
      </c>
    </row>
    <row r="16" spans="3:4" ht="28.5" thickBot="1" x14ac:dyDescent="0.7">
      <c r="C16" s="24" t="s">
        <v>13</v>
      </c>
      <c r="D16" s="32">
        <v>49671705</v>
      </c>
    </row>
    <row r="17" spans="3:4" ht="28.5" thickBot="1" x14ac:dyDescent="0.7">
      <c r="C17" s="24" t="s">
        <v>14</v>
      </c>
      <c r="D17" s="33">
        <f>D15+D16</f>
        <v>89628509</v>
      </c>
    </row>
    <row r="18" spans="3:4" ht="28.5" thickBot="1" x14ac:dyDescent="0.7">
      <c r="C18" s="24" t="s">
        <v>15</v>
      </c>
      <c r="D18" s="32">
        <v>85708331</v>
      </c>
    </row>
    <row r="19" spans="3:4" ht="28.5" thickBot="1" x14ac:dyDescent="0.7">
      <c r="C19" s="24" t="s">
        <v>16</v>
      </c>
      <c r="D19" s="32">
        <v>49365929</v>
      </c>
    </row>
    <row r="20" spans="3:4" ht="28.5" thickBot="1" x14ac:dyDescent="0.7">
      <c r="C20" s="24" t="s">
        <v>17</v>
      </c>
      <c r="D20" s="32">
        <f>D19+D18</f>
        <v>135074260</v>
      </c>
    </row>
    <row r="21" spans="3:4" ht="28.5" thickBot="1" x14ac:dyDescent="0.7">
      <c r="C21" s="24" t="s">
        <v>18</v>
      </c>
      <c r="D21" s="32">
        <v>3502488</v>
      </c>
    </row>
    <row r="22" spans="3:4" ht="28.5" thickBot="1" x14ac:dyDescent="0.7">
      <c r="C22" s="24" t="s">
        <v>19</v>
      </c>
      <c r="D22" s="32">
        <v>-45445751</v>
      </c>
    </row>
    <row r="23" spans="3:4" ht="28.5" thickBot="1" x14ac:dyDescent="0.7">
      <c r="C23" s="24" t="s">
        <v>20</v>
      </c>
      <c r="D23" s="32">
        <v>43260700</v>
      </c>
    </row>
    <row r="24" spans="3:4" ht="28.5" thickBot="1" x14ac:dyDescent="0.7">
      <c r="C24" s="34" t="s">
        <v>21</v>
      </c>
      <c r="D24" s="33">
        <f>(D23+D22)-D21</f>
        <v>-5687539</v>
      </c>
    </row>
  </sheetData>
  <mergeCells count="1">
    <mergeCell ref="C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2AB5-F6E8-4EBD-A719-B84B36C10CE9}">
  <dimension ref="C2:D24"/>
  <sheetViews>
    <sheetView zoomScale="60" zoomScaleNormal="60" workbookViewId="0">
      <selection activeCell="C3" sqref="C3:D24"/>
    </sheetView>
  </sheetViews>
  <sheetFormatPr defaultRowHeight="14.5" x14ac:dyDescent="0.35"/>
  <cols>
    <col min="3" max="3" width="69.1796875" bestFit="1" customWidth="1"/>
    <col min="4" max="4" width="28.6328125" bestFit="1" customWidth="1"/>
  </cols>
  <sheetData>
    <row r="2" spans="3:4" ht="15" thickBot="1" x14ac:dyDescent="0.4"/>
    <row r="3" spans="3:4" ht="40.5" thickBot="1" x14ac:dyDescent="0.4">
      <c r="C3" s="37">
        <v>2024</v>
      </c>
      <c r="D3" s="38"/>
    </row>
    <row r="4" spans="3:4" ht="40.5" thickBot="1" x14ac:dyDescent="1">
      <c r="C4" s="22" t="s">
        <v>0</v>
      </c>
      <c r="D4" s="23" t="s">
        <v>1</v>
      </c>
    </row>
    <row r="5" spans="3:4" ht="28.5" thickBot="1" x14ac:dyDescent="0.7">
      <c r="C5" s="24" t="s">
        <v>2</v>
      </c>
      <c r="D5" s="25">
        <v>67224916</v>
      </c>
    </row>
    <row r="6" spans="3:4" ht="28.5" thickBot="1" x14ac:dyDescent="0.7">
      <c r="C6" s="26" t="s">
        <v>3</v>
      </c>
      <c r="D6" s="25">
        <v>20698132</v>
      </c>
    </row>
    <row r="7" spans="3:4" ht="28.5" thickBot="1" x14ac:dyDescent="0.4">
      <c r="C7" s="27" t="s">
        <v>4</v>
      </c>
      <c r="D7" s="28">
        <v>32698132</v>
      </c>
    </row>
    <row r="8" spans="3:4" ht="28.5" thickBot="1" x14ac:dyDescent="0.7">
      <c r="C8" s="24" t="s">
        <v>5</v>
      </c>
      <c r="D8" s="25">
        <v>34526784</v>
      </c>
    </row>
    <row r="9" spans="3:4" ht="28.5" thickBot="1" x14ac:dyDescent="0.7">
      <c r="C9" s="24" t="s">
        <v>6</v>
      </c>
      <c r="D9" s="29">
        <v>31493584</v>
      </c>
    </row>
    <row r="10" spans="3:4" ht="28.5" thickBot="1" x14ac:dyDescent="0.7">
      <c r="C10" s="24" t="s">
        <v>7</v>
      </c>
      <c r="D10" s="30">
        <f>D9/D5</f>
        <v>0.46848082338994668</v>
      </c>
    </row>
    <row r="11" spans="3:4" ht="28.5" thickBot="1" x14ac:dyDescent="0.7">
      <c r="C11" s="24" t="s">
        <v>8</v>
      </c>
      <c r="D11" s="25">
        <v>10638244</v>
      </c>
    </row>
    <row r="12" spans="3:4" ht="28.5" thickBot="1" x14ac:dyDescent="0.7">
      <c r="C12" s="24" t="s">
        <v>9</v>
      </c>
      <c r="D12" s="25">
        <v>0</v>
      </c>
    </row>
    <row r="13" spans="3:4" ht="28.5" thickBot="1" x14ac:dyDescent="0.7">
      <c r="C13" s="24" t="s">
        <v>10</v>
      </c>
      <c r="D13" s="31">
        <f>D11/D5</f>
        <v>0.15824852797138489</v>
      </c>
    </row>
    <row r="14" spans="3:4" ht="28.5" thickBot="1" x14ac:dyDescent="0.7">
      <c r="C14" s="24" t="s">
        <v>11</v>
      </c>
      <c r="D14" s="25">
        <v>16650072</v>
      </c>
    </row>
    <row r="15" spans="3:4" ht="28.5" thickBot="1" x14ac:dyDescent="0.7">
      <c r="C15" s="24" t="s">
        <v>12</v>
      </c>
      <c r="D15" s="32">
        <v>53620180</v>
      </c>
    </row>
    <row r="16" spans="3:4" ht="28.5" thickBot="1" x14ac:dyDescent="0.7">
      <c r="C16" s="24" t="s">
        <v>13</v>
      </c>
      <c r="D16" s="32">
        <v>43085589</v>
      </c>
    </row>
    <row r="17" spans="3:4" ht="28.5" thickBot="1" x14ac:dyDescent="0.7">
      <c r="C17" s="24" t="s">
        <v>14</v>
      </c>
      <c r="D17" s="33">
        <f>D15+D16</f>
        <v>96705769</v>
      </c>
    </row>
    <row r="18" spans="3:4" ht="28.5" thickBot="1" x14ac:dyDescent="0.7">
      <c r="C18" s="24" t="s">
        <v>15</v>
      </c>
      <c r="D18" s="32">
        <v>88788718</v>
      </c>
    </row>
    <row r="19" spans="3:4" ht="28.5" thickBot="1" x14ac:dyDescent="0.7">
      <c r="C19" s="24" t="s">
        <v>16</v>
      </c>
      <c r="D19" s="32">
        <v>42724558</v>
      </c>
    </row>
    <row r="20" spans="3:4" ht="28.5" thickBot="1" x14ac:dyDescent="0.7">
      <c r="C20" s="24" t="s">
        <v>17</v>
      </c>
      <c r="D20" s="32">
        <f>D18+D19</f>
        <v>131513276</v>
      </c>
    </row>
    <row r="21" spans="3:4" ht="28.5" thickBot="1" x14ac:dyDescent="0.7">
      <c r="C21" s="24" t="s">
        <v>18</v>
      </c>
      <c r="D21" s="32">
        <v>2998276</v>
      </c>
    </row>
    <row r="22" spans="3:4" ht="28.5" thickBot="1" x14ac:dyDescent="0.7">
      <c r="C22" s="24" t="s">
        <v>19</v>
      </c>
      <c r="D22" s="32">
        <v>-34807507</v>
      </c>
    </row>
    <row r="23" spans="3:4" ht="28.5" thickBot="1" x14ac:dyDescent="0.7">
      <c r="C23" s="24" t="s">
        <v>20</v>
      </c>
      <c r="D23" s="32">
        <v>35931635</v>
      </c>
    </row>
    <row r="24" spans="3:4" ht="28.5" thickBot="1" x14ac:dyDescent="0.7">
      <c r="C24" s="34" t="s">
        <v>21</v>
      </c>
      <c r="D24" s="33">
        <f>(D23+D22)-D21</f>
        <v>-1874148</v>
      </c>
    </row>
  </sheetData>
  <mergeCells count="1">
    <mergeCell ref="C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D23D9-430A-4302-8FB8-A1050228CA14}">
  <dimension ref="C2:D24"/>
  <sheetViews>
    <sheetView zoomScale="70" zoomScaleNormal="70" workbookViewId="0">
      <selection activeCell="C3" sqref="C3:D24"/>
    </sheetView>
  </sheetViews>
  <sheetFormatPr defaultRowHeight="14.5" x14ac:dyDescent="0.35"/>
  <cols>
    <col min="3" max="3" width="69.1796875" bestFit="1" customWidth="1"/>
    <col min="4" max="4" width="28.6328125" bestFit="1" customWidth="1"/>
  </cols>
  <sheetData>
    <row r="2" spans="3:4" ht="15" thickBot="1" x14ac:dyDescent="0.4"/>
    <row r="3" spans="3:4" ht="40.5" thickBot="1" x14ac:dyDescent="0.4">
      <c r="C3" s="37">
        <v>2025</v>
      </c>
      <c r="D3" s="38"/>
    </row>
    <row r="4" spans="3:4" ht="40.5" thickBot="1" x14ac:dyDescent="1">
      <c r="C4" s="22" t="s">
        <v>0</v>
      </c>
      <c r="D4" s="23" t="s">
        <v>1</v>
      </c>
    </row>
    <row r="5" spans="3:4" ht="28.5" thickBot="1" x14ac:dyDescent="0.7">
      <c r="C5" s="24" t="s">
        <v>2</v>
      </c>
      <c r="D5" s="25"/>
    </row>
    <row r="6" spans="3:4" ht="28.5" thickBot="1" x14ac:dyDescent="0.7">
      <c r="C6" s="26" t="s">
        <v>3</v>
      </c>
      <c r="D6" s="25"/>
    </row>
    <row r="7" spans="3:4" ht="28.5" thickBot="1" x14ac:dyDescent="0.4">
      <c r="C7" s="27" t="s">
        <v>4</v>
      </c>
      <c r="D7" s="28"/>
    </row>
    <row r="8" spans="3:4" ht="28.5" thickBot="1" x14ac:dyDescent="0.7">
      <c r="C8" s="24" t="s">
        <v>5</v>
      </c>
      <c r="D8" s="25"/>
    </row>
    <row r="9" spans="3:4" ht="28.5" thickBot="1" x14ac:dyDescent="0.7">
      <c r="C9" s="24" t="s">
        <v>6</v>
      </c>
      <c r="D9" s="29"/>
    </row>
    <row r="10" spans="3:4" ht="28.5" thickBot="1" x14ac:dyDescent="0.7">
      <c r="C10" s="24" t="s">
        <v>7</v>
      </c>
      <c r="D10" s="36"/>
    </row>
    <row r="11" spans="3:4" ht="28.5" thickBot="1" x14ac:dyDescent="0.7">
      <c r="C11" s="24" t="s">
        <v>8</v>
      </c>
      <c r="D11" s="25"/>
    </row>
    <row r="12" spans="3:4" ht="28.5" thickBot="1" x14ac:dyDescent="0.7">
      <c r="C12" s="24" t="s">
        <v>9</v>
      </c>
      <c r="D12" s="25"/>
    </row>
    <row r="13" spans="3:4" ht="28.5" thickBot="1" x14ac:dyDescent="0.7">
      <c r="C13" s="24" t="s">
        <v>10</v>
      </c>
      <c r="D13" s="31"/>
    </row>
    <row r="14" spans="3:4" ht="28.5" thickBot="1" x14ac:dyDescent="0.7">
      <c r="C14" s="24" t="s">
        <v>11</v>
      </c>
      <c r="D14" s="25"/>
    </row>
    <row r="15" spans="3:4" ht="28.5" thickBot="1" x14ac:dyDescent="0.7">
      <c r="C15" s="24" t="s">
        <v>12</v>
      </c>
      <c r="D15" s="32"/>
    </row>
    <row r="16" spans="3:4" ht="28.5" thickBot="1" x14ac:dyDescent="0.7">
      <c r="C16" s="24" t="s">
        <v>13</v>
      </c>
      <c r="D16" s="32"/>
    </row>
    <row r="17" spans="3:4" ht="28.5" thickBot="1" x14ac:dyDescent="0.7">
      <c r="C17" s="24" t="s">
        <v>14</v>
      </c>
      <c r="D17" s="33"/>
    </row>
    <row r="18" spans="3:4" ht="28.5" thickBot="1" x14ac:dyDescent="0.7">
      <c r="C18" s="24" t="s">
        <v>15</v>
      </c>
      <c r="D18" s="32"/>
    </row>
    <row r="19" spans="3:4" ht="28.5" thickBot="1" x14ac:dyDescent="0.7">
      <c r="C19" s="24" t="s">
        <v>16</v>
      </c>
      <c r="D19" s="32"/>
    </row>
    <row r="20" spans="3:4" ht="28.5" thickBot="1" x14ac:dyDescent="0.7">
      <c r="C20" s="24" t="s">
        <v>17</v>
      </c>
      <c r="D20" s="32"/>
    </row>
    <row r="21" spans="3:4" ht="28.5" thickBot="1" x14ac:dyDescent="0.7">
      <c r="C21" s="24" t="s">
        <v>18</v>
      </c>
      <c r="D21" s="32"/>
    </row>
    <row r="22" spans="3:4" ht="28.5" thickBot="1" x14ac:dyDescent="0.7">
      <c r="C22" s="24" t="s">
        <v>19</v>
      </c>
      <c r="D22" s="32"/>
    </row>
    <row r="23" spans="3:4" ht="28.5" thickBot="1" x14ac:dyDescent="0.7">
      <c r="C23" s="24" t="s">
        <v>20</v>
      </c>
      <c r="D23" s="32"/>
    </row>
    <row r="24" spans="3:4" ht="28.5" thickBot="1" x14ac:dyDescent="0.7">
      <c r="C24" s="34" t="s">
        <v>21</v>
      </c>
      <c r="D24" s="33"/>
    </row>
  </sheetData>
  <mergeCells count="1">
    <mergeCell ref="C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585F-DF35-4E08-8033-B791AECC8F22}">
  <dimension ref="C2:F9"/>
  <sheetViews>
    <sheetView tabSelected="1" workbookViewId="0">
      <selection activeCell="C3" sqref="C3:F9"/>
    </sheetView>
  </sheetViews>
  <sheetFormatPr defaultRowHeight="14.5" x14ac:dyDescent="0.35"/>
  <cols>
    <col min="3" max="3" width="22.54296875" customWidth="1"/>
    <col min="4" max="4" width="17.6328125" customWidth="1"/>
    <col min="5" max="5" width="32.08984375" customWidth="1"/>
    <col min="6" max="6" width="25.6328125" customWidth="1"/>
  </cols>
  <sheetData>
    <row r="2" spans="3:6" ht="15" thickBot="1" x14ac:dyDescent="0.4"/>
    <row r="3" spans="3:6" ht="19" thickBot="1" x14ac:dyDescent="0.5">
      <c r="C3" s="41">
        <v>2021</v>
      </c>
      <c r="D3" s="42"/>
      <c r="E3" s="42"/>
      <c r="F3" s="43"/>
    </row>
    <row r="4" spans="3:6" ht="15" thickBot="1" x14ac:dyDescent="0.4">
      <c r="C4" s="7" t="s">
        <v>22</v>
      </c>
      <c r="D4" s="8" t="s">
        <v>23</v>
      </c>
      <c r="E4" s="8" t="s">
        <v>24</v>
      </c>
      <c r="F4" s="7" t="s">
        <v>25</v>
      </c>
    </row>
    <row r="5" spans="3:6" ht="15" thickBot="1" x14ac:dyDescent="0.4">
      <c r="C5" s="7" t="s">
        <v>26</v>
      </c>
      <c r="D5" s="45" t="s">
        <v>1</v>
      </c>
      <c r="E5" s="51">
        <f>37410476*1%</f>
        <v>374104.76</v>
      </c>
      <c r="F5" s="9">
        <v>200000</v>
      </c>
    </row>
    <row r="6" spans="3:6" x14ac:dyDescent="0.35">
      <c r="C6" s="10" t="s">
        <v>27</v>
      </c>
      <c r="D6" s="46"/>
      <c r="E6" s="52"/>
      <c r="F6" s="9">
        <v>174104.76</v>
      </c>
    </row>
    <row r="7" spans="3:6" x14ac:dyDescent="0.35">
      <c r="C7" s="3" t="s">
        <v>28</v>
      </c>
      <c r="D7" s="46"/>
      <c r="E7" s="52"/>
      <c r="F7" s="11"/>
    </row>
    <row r="8" spans="3:6" ht="15" thickBot="1" x14ac:dyDescent="0.4">
      <c r="C8" s="4" t="s">
        <v>29</v>
      </c>
      <c r="D8" s="47"/>
      <c r="E8" s="53"/>
      <c r="F8" s="9"/>
    </row>
    <row r="9" spans="3:6" ht="21.5" thickBot="1" x14ac:dyDescent="0.55000000000000004">
      <c r="C9" s="39" t="s">
        <v>30</v>
      </c>
      <c r="D9" s="44"/>
      <c r="E9" s="12">
        <f>SUM(E5:E8)</f>
        <v>374104.76</v>
      </c>
      <c r="F9" s="12">
        <f>SUM(F5:F8)</f>
        <v>374104.76</v>
      </c>
    </row>
  </sheetData>
  <mergeCells count="4">
    <mergeCell ref="E5:E8"/>
    <mergeCell ref="D5:D8"/>
    <mergeCell ref="C3:F3"/>
    <mergeCell ref="C9:D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CD916-7FD0-496B-8C01-44B29D020921}">
  <dimension ref="C2:F9"/>
  <sheetViews>
    <sheetView workbookViewId="0">
      <selection activeCell="C3" sqref="C3:F9"/>
    </sheetView>
  </sheetViews>
  <sheetFormatPr defaultRowHeight="14.5" x14ac:dyDescent="0.35"/>
  <cols>
    <col min="3" max="3" width="20.08984375" customWidth="1"/>
    <col min="4" max="4" width="20.36328125" customWidth="1"/>
    <col min="5" max="5" width="23.81640625" customWidth="1"/>
    <col min="6" max="6" width="30.90625" customWidth="1"/>
  </cols>
  <sheetData>
    <row r="2" spans="3:6" ht="15" thickBot="1" x14ac:dyDescent="0.4"/>
    <row r="3" spans="3:6" ht="19" thickBot="1" x14ac:dyDescent="0.5">
      <c r="C3" s="41">
        <v>2022</v>
      </c>
      <c r="D3" s="42"/>
      <c r="E3" s="42"/>
      <c r="F3" s="43"/>
    </row>
    <row r="4" spans="3:6" ht="15" thickBot="1" x14ac:dyDescent="0.4">
      <c r="C4" s="7" t="s">
        <v>22</v>
      </c>
      <c r="D4" s="8" t="s">
        <v>23</v>
      </c>
      <c r="E4" s="8" t="s">
        <v>24</v>
      </c>
      <c r="F4" s="7" t="s">
        <v>25</v>
      </c>
    </row>
    <row r="5" spans="3:6" x14ac:dyDescent="0.35">
      <c r="C5" s="2" t="s">
        <v>26</v>
      </c>
      <c r="D5" s="45" t="s">
        <v>1</v>
      </c>
      <c r="E5" s="51">
        <f>56516635*1%</f>
        <v>565166.35</v>
      </c>
      <c r="F5" s="9">
        <v>150000</v>
      </c>
    </row>
    <row r="6" spans="3:6" x14ac:dyDescent="0.35">
      <c r="C6" s="3" t="s">
        <v>27</v>
      </c>
      <c r="D6" s="46"/>
      <c r="E6" s="52"/>
      <c r="F6" s="9">
        <v>100000</v>
      </c>
    </row>
    <row r="7" spans="3:6" x14ac:dyDescent="0.35">
      <c r="C7" s="3" t="s">
        <v>28</v>
      </c>
      <c r="D7" s="46"/>
      <c r="E7" s="52"/>
      <c r="F7" s="11"/>
    </row>
    <row r="8" spans="3:6" ht="15" thickBot="1" x14ac:dyDescent="0.4">
      <c r="C8" s="4" t="s">
        <v>29</v>
      </c>
      <c r="D8" s="47"/>
      <c r="E8" s="53"/>
      <c r="F8" s="9"/>
    </row>
    <row r="9" spans="3:6" ht="21.5" thickBot="1" x14ac:dyDescent="0.55000000000000004">
      <c r="C9" s="39" t="s">
        <v>30</v>
      </c>
      <c r="D9" s="44"/>
      <c r="E9" s="12">
        <f>SUM(E5:E8)</f>
        <v>565166.35</v>
      </c>
      <c r="F9" s="12">
        <f>SUM(F5:F8)</f>
        <v>250000</v>
      </c>
    </row>
  </sheetData>
  <mergeCells count="4">
    <mergeCell ref="E5:E8"/>
    <mergeCell ref="D5:D8"/>
    <mergeCell ref="C9:D9"/>
    <mergeCell ref="C3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78F8-9B95-40E9-91D5-8547203C6CEB}">
  <dimension ref="C2:F9"/>
  <sheetViews>
    <sheetView workbookViewId="0">
      <selection activeCell="C3" sqref="C3:F9"/>
    </sheetView>
  </sheetViews>
  <sheetFormatPr defaultRowHeight="14.5" x14ac:dyDescent="0.35"/>
  <cols>
    <col min="3" max="3" width="21.90625" customWidth="1"/>
    <col min="4" max="4" width="18.7265625" customWidth="1"/>
    <col min="5" max="5" width="23.7265625" customWidth="1"/>
    <col min="6" max="6" width="28.26953125" customWidth="1"/>
  </cols>
  <sheetData>
    <row r="2" spans="3:6" ht="15" thickBot="1" x14ac:dyDescent="0.4"/>
    <row r="3" spans="3:6" ht="19" thickBot="1" x14ac:dyDescent="0.5">
      <c r="C3" s="41">
        <v>2023</v>
      </c>
      <c r="D3" s="42"/>
      <c r="E3" s="42"/>
      <c r="F3" s="43"/>
    </row>
    <row r="4" spans="3:6" ht="15" thickBot="1" x14ac:dyDescent="0.4">
      <c r="C4" s="7" t="s">
        <v>22</v>
      </c>
      <c r="D4" s="8" t="s">
        <v>23</v>
      </c>
      <c r="E4" s="8" t="s">
        <v>24</v>
      </c>
      <c r="F4" s="13" t="s">
        <v>25</v>
      </c>
    </row>
    <row r="5" spans="3:6" x14ac:dyDescent="0.35">
      <c r="C5" s="2" t="s">
        <v>26</v>
      </c>
      <c r="D5" s="45" t="s">
        <v>1</v>
      </c>
      <c r="E5" s="51">
        <f>62316482*1%</f>
        <v>623164.82000000007</v>
      </c>
      <c r="F5" s="9">
        <v>55000</v>
      </c>
    </row>
    <row r="6" spans="3:6" x14ac:dyDescent="0.35">
      <c r="C6" s="3" t="s">
        <v>27</v>
      </c>
      <c r="D6" s="46"/>
      <c r="E6" s="52"/>
      <c r="F6" s="9">
        <v>100000</v>
      </c>
    </row>
    <row r="7" spans="3:6" x14ac:dyDescent="0.35">
      <c r="C7" s="3" t="s">
        <v>28</v>
      </c>
      <c r="D7" s="46"/>
      <c r="E7" s="52"/>
      <c r="F7" s="9">
        <v>150000</v>
      </c>
    </row>
    <row r="8" spans="3:6" ht="15" thickBot="1" x14ac:dyDescent="0.4">
      <c r="C8" s="4" t="s">
        <v>29</v>
      </c>
      <c r="D8" s="47"/>
      <c r="E8" s="53"/>
      <c r="F8" s="9">
        <v>150000</v>
      </c>
    </row>
    <row r="9" spans="3:6" ht="21.5" thickBot="1" x14ac:dyDescent="0.55000000000000004">
      <c r="C9" s="39" t="s">
        <v>30</v>
      </c>
      <c r="D9" s="44"/>
      <c r="E9" s="6">
        <f>SUM(E5:E8)</f>
        <v>623164.82000000007</v>
      </c>
      <c r="F9" s="6">
        <f>SUM(F5:F8)</f>
        <v>455000</v>
      </c>
    </row>
  </sheetData>
  <mergeCells count="4">
    <mergeCell ref="E5:E8"/>
    <mergeCell ref="D5:D8"/>
    <mergeCell ref="C3:F3"/>
    <mergeCell ref="C9:D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D9AA-5B7F-4018-9503-0EFFE84A6F09}">
  <dimension ref="C2:F9"/>
  <sheetViews>
    <sheetView workbookViewId="0">
      <selection activeCell="C3" sqref="C3:F3"/>
    </sheetView>
  </sheetViews>
  <sheetFormatPr defaultRowHeight="14.5" x14ac:dyDescent="0.35"/>
  <cols>
    <col min="3" max="3" width="21.1796875" customWidth="1"/>
    <col min="4" max="4" width="26.90625" customWidth="1"/>
    <col min="5" max="5" width="23.81640625" customWidth="1"/>
    <col min="6" max="6" width="28.81640625" customWidth="1"/>
  </cols>
  <sheetData>
    <row r="2" spans="3:6" ht="15" thickBot="1" x14ac:dyDescent="0.4"/>
    <row r="3" spans="3:6" ht="19" thickBot="1" x14ac:dyDescent="0.5">
      <c r="C3" s="41">
        <v>2024</v>
      </c>
      <c r="D3" s="42"/>
      <c r="E3" s="42"/>
      <c r="F3" s="43"/>
    </row>
    <row r="4" spans="3:6" ht="15" thickBot="1" x14ac:dyDescent="0.4">
      <c r="C4" s="7" t="s">
        <v>22</v>
      </c>
      <c r="D4" s="8" t="s">
        <v>23</v>
      </c>
      <c r="E4" s="8" t="s">
        <v>24</v>
      </c>
      <c r="F4" s="7" t="s">
        <v>25</v>
      </c>
    </row>
    <row r="5" spans="3:6" x14ac:dyDescent="0.35">
      <c r="C5" s="2" t="s">
        <v>26</v>
      </c>
      <c r="D5" s="45" t="s">
        <v>1</v>
      </c>
      <c r="E5" s="51">
        <f>67224916*1%</f>
        <v>672249.16</v>
      </c>
      <c r="F5" s="9">
        <v>224083.05</v>
      </c>
    </row>
    <row r="6" spans="3:6" x14ac:dyDescent="0.35">
      <c r="C6" s="3" t="s">
        <v>27</v>
      </c>
      <c r="D6" s="46"/>
      <c r="E6" s="52"/>
      <c r="F6" s="9">
        <v>107131.82</v>
      </c>
    </row>
    <row r="7" spans="3:6" x14ac:dyDescent="0.35">
      <c r="C7" s="3" t="s">
        <v>28</v>
      </c>
      <c r="D7" s="46"/>
      <c r="E7" s="52"/>
      <c r="F7" s="9">
        <v>165036.75</v>
      </c>
    </row>
    <row r="8" spans="3:6" ht="15" thickBot="1" x14ac:dyDescent="0.4">
      <c r="C8" s="4" t="s">
        <v>29</v>
      </c>
      <c r="D8" s="47"/>
      <c r="E8" s="53"/>
      <c r="F8" s="9">
        <v>174162.5</v>
      </c>
    </row>
    <row r="9" spans="3:6" ht="21.5" thickBot="1" x14ac:dyDescent="0.55000000000000004">
      <c r="C9" s="39" t="s">
        <v>30</v>
      </c>
      <c r="D9" s="44"/>
      <c r="E9" s="6">
        <f>SUM(E5:E8)</f>
        <v>672249.16</v>
      </c>
      <c r="F9" s="6">
        <f>SUM(F5:F8)</f>
        <v>670414.12</v>
      </c>
    </row>
  </sheetData>
  <mergeCells count="4">
    <mergeCell ref="E5:E8"/>
    <mergeCell ref="D5:D8"/>
    <mergeCell ref="C3:F3"/>
    <mergeCell ref="C9:D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F455-B003-4D33-AEBA-9C8B9627924F}">
  <dimension ref="C2:F9"/>
  <sheetViews>
    <sheetView workbookViewId="0">
      <selection activeCell="C3" sqref="C3:F9"/>
    </sheetView>
  </sheetViews>
  <sheetFormatPr defaultRowHeight="14.5" x14ac:dyDescent="0.35"/>
  <cols>
    <col min="3" max="3" width="21.453125" customWidth="1"/>
    <col min="4" max="4" width="18.54296875" customWidth="1"/>
    <col min="5" max="5" width="29.453125" customWidth="1"/>
    <col min="6" max="6" width="28.90625" customWidth="1"/>
  </cols>
  <sheetData>
    <row r="2" spans="3:6" ht="15" thickBot="1" x14ac:dyDescent="0.4"/>
    <row r="3" spans="3:6" ht="19" thickBot="1" x14ac:dyDescent="0.5">
      <c r="C3" s="41">
        <v>2025</v>
      </c>
      <c r="D3" s="42"/>
      <c r="E3" s="42"/>
      <c r="F3" s="43"/>
    </row>
    <row r="4" spans="3:6" ht="15" thickBot="1" x14ac:dyDescent="0.4">
      <c r="C4" s="7" t="s">
        <v>22</v>
      </c>
      <c r="D4" s="8" t="s">
        <v>23</v>
      </c>
      <c r="E4" s="8" t="s">
        <v>24</v>
      </c>
      <c r="F4" s="7" t="s">
        <v>25</v>
      </c>
    </row>
    <row r="5" spans="3:6" x14ac:dyDescent="0.35">
      <c r="C5" s="2" t="s">
        <v>26</v>
      </c>
      <c r="D5" s="45" t="s">
        <v>1</v>
      </c>
      <c r="E5" s="48"/>
      <c r="F5" s="14">
        <v>39649917.520000003</v>
      </c>
    </row>
    <row r="6" spans="3:6" x14ac:dyDescent="0.35">
      <c r="C6" s="3" t="s">
        <v>27</v>
      </c>
      <c r="D6" s="46"/>
      <c r="E6" s="49"/>
      <c r="F6" s="15">
        <v>43774217.299999997</v>
      </c>
    </row>
    <row r="7" spans="3:6" x14ac:dyDescent="0.35">
      <c r="C7" s="3" t="s">
        <v>28</v>
      </c>
      <c r="D7" s="46"/>
      <c r="E7" s="49"/>
      <c r="F7" s="15">
        <v>45891380.049999997</v>
      </c>
    </row>
    <row r="8" spans="3:6" ht="15" thickBot="1" x14ac:dyDescent="0.4">
      <c r="C8" s="4" t="s">
        <v>29</v>
      </c>
      <c r="D8" s="47"/>
      <c r="E8" s="50"/>
      <c r="F8" s="16"/>
    </row>
    <row r="9" spans="3:6" ht="21.5" thickBot="1" x14ac:dyDescent="0.55000000000000004">
      <c r="C9" s="39" t="s">
        <v>30</v>
      </c>
      <c r="D9" s="44"/>
      <c r="E9" s="6">
        <f>SUM(E5:E8)</f>
        <v>0</v>
      </c>
      <c r="F9" s="6">
        <f>SUM(F5:F8)</f>
        <v>129315514.86999999</v>
      </c>
    </row>
  </sheetData>
  <mergeCells count="4">
    <mergeCell ref="D5:D8"/>
    <mergeCell ref="E5:E8"/>
    <mergeCell ref="C9:D9"/>
    <mergeCell ref="C3:F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6E52C18C-ED68-4073-92E9-4B32A1AA258C}">
  <dimension ref="C2:F6"/>
  <sheetViews>
    <sheetView workbookViewId="0">
      <selection activeCell="K19" sqref="K19"/>
    </sheetView>
  </sheetViews>
  <sheetFormatPr defaultRowHeight="14.5" ns3:dyDescent="0.35"/>
  <cols>
    <col min="3" max="3" width="22.1796875" customWidth="1"/>
    <col min="4" max="4" width="32.453125" customWidth="1"/>
    <col min="5" max="5" width="23.7265625" customWidth="1"/>
    <col min="6" max="6" width="40.36328125" customWidth="1"/>
  </cols>
  <sheetData>
    <row r="2" spans="3:6" ht="15" thickBot="1" ns3:dyDescent="0.4"/>
    <row r="3" spans="3:6" ht="21.5" thickBot="1" ns3:dyDescent="0.55000000000000004">
      <c r="C3" s="39" t="s">
        <v>31</v>
      </c>
      <c r="D3" s="44"/>
      <c r="E3" s="44"/>
      <c r="F3" s="40"/>
    </row>
    <row r="4" spans="3:6" ht="19" thickBot="1" ns3:dyDescent="0.5">
      <c r="C4" s="17" t="s">
        <v>23</v>
      </c>
      <c r="D4" s="17" t="s">
        <v>32</v>
      </c>
      <c r="E4" s="18" t="s">
        <v>33</v>
      </c>
      <c r="F4" s="17" t="s">
        <v>34</v>
      </c>
    </row>
    <row r="5" spans="3:6" ht="19" thickBot="1" ns3:dyDescent="0.5">
      <c r="C5" s="19" t="s">
        <v>1</v>
      </c>
      <c r="D5" s="20">
        <f>'1% PAYMENTS RECEIVED 2021'!E9+'1% PAYMENTS RECEIVED 2022'!E9+'1% PAYMENTS RECEIVED 2023'!E9+'1% PAYMENTS RECEIVED 2024'!E9+'1% PAYMENTS RECEIVED 2025'!E9</f>
        <v>2234685.0900000003</v>
      </c>
      <c r="E5" s="20">
        <f>'1% PAYMENTS RECEIVED 2021'!F9+'1% PAYMENTS RECEIVED 2022'!F9+'1% PAYMENTS RECEIVED 2023'!F9+'1% PAYMENTS RECEIVED 2024'!F9+'1% PAYMENTS RECEIVED 2025'!F9</f>
        <v>131065033.74999999</v>
      </c>
      <c r="F5" s="21">
        <f>D5-E5</f>
        <v>-128830348.65999998</v>
      </c>
    </row>
    <row r="6" spans="3:6" ht="21.5" thickBot="1" ns3:dyDescent="0.55000000000000004">
      <c r="C6" s="5" t="s">
        <v>35</v>
      </c>
      <c r="D6" s="12">
        <f>D5</f>
        <v>2234685.0900000003</v>
      </c>
      <c r="E6" s="12">
        <f>E5</f>
        <v>131065033.74999999</v>
      </c>
      <c r="F6" s="12">
        <f>D6-E6</f>
        <v>-128830348.65999998</v>
      </c>
    </row>
  </sheetData>
  <mergeCells count="1">
    <mergeCell ref="C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ICH 2021</vt:lpstr>
      <vt:lpstr>ICH 2022</vt:lpstr>
      <vt:lpstr>ICH 2023</vt:lpstr>
      <vt:lpstr>ICH 2024</vt:lpstr>
      <vt:lpstr>ICH 2025</vt:lpstr>
      <vt:lpstr>1% PAYMENTS 2021</vt:lpstr>
      <vt:lpstr>1% PAYMENTS 2022</vt:lpstr>
      <vt:lpstr>1% PAYMENTS 2023</vt:lpstr>
      <vt:lpstr>1% PAYMENTS 2024</vt:lpstr>
      <vt:lpstr>1% PAYMENTS 2025</vt:lpstr>
      <vt:lpstr>Summary 1%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 Quartey</dc:creator>
  <cp:lastModifiedBy>Clive Barton-Odro</cp:lastModifiedBy>
  <dcterms:created xsi:type="dcterms:W3CDTF">2026-05-07T03:04:00Z</dcterms:created>
  <dcterms:modified xsi:type="dcterms:W3CDTF">2026-06-08T10:33:43Z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88B01985EE75E79D82A3176AEE1AC6C6_42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r8>0</vt:r8>
  </property>
</Properties>
</file>